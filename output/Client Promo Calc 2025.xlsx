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Price Break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CC"/>
        <bgColor rgb="00FFFFCC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1" fillId="0" borderId="0" pivotButton="0" quotePrefix="0" xfId="0"/>
    <xf numFmtId="164" fontId="1" fillId="4" borderId="1" pivotButton="0" quotePrefix="0" xfId="0"/>
    <xf numFmtId="0" fontId="2" fillId="5" borderId="1" pivotButton="0" quotePrefix="0" xfId="0"/>
    <xf numFmtId="0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Enter your desired quantity in 'Your QTY' column - Price adjusts automatically based on quantity tiers</t>
        </is>
      </c>
    </row>
    <row r="2">
      <c r="A2" s="2" t="inlineStr">
        <is>
          <t>Promo Product</t>
        </is>
      </c>
      <c r="B2" s="2" t="inlineStr">
        <is>
          <t>Min QTY</t>
        </is>
      </c>
      <c r="C2" s="2" t="inlineStr">
        <is>
          <t>Your QTY</t>
        </is>
      </c>
      <c r="D2" s="2" t="inlineStr">
        <is>
          <t>Price/Unit</t>
        </is>
      </c>
      <c r="E2" s="2" t="inlineStr">
        <is>
          <t>Setup</t>
        </is>
      </c>
      <c r="F2" s="2" t="inlineStr">
        <is>
          <t>Total</t>
        </is>
      </c>
      <c r="G2" s="2" t="inlineStr">
        <is>
          <t>Freight Est.</t>
        </is>
      </c>
    </row>
    <row r="3">
      <c r="A3" s="3" t="inlineStr">
        <is>
          <t>Laser-Engraved Wood Box with Custom Etched Wine</t>
        </is>
      </c>
      <c r="B3" s="4" t="n">
        <v>12</v>
      </c>
      <c r="C3" s="2" t="n">
        <v>12</v>
      </c>
      <c r="D3" s="5">
        <f>IF(C3&gt;=300,136.36,IF(C3&gt;=204,138.69,IF(C3&gt;=108,142.38,IF(C3&gt;=48,147.76,154.05))))</f>
        <v/>
      </c>
      <c r="E3" s="5" t="n">
        <v>93.75</v>
      </c>
      <c r="F3" s="5">
        <f>D3*C3+E3</f>
        <v/>
      </c>
      <c r="G3" s="5">
        <f>F3*0.15</f>
        <v/>
      </c>
    </row>
    <row r="4">
      <c r="A4" s="3" t="inlineStr">
        <is>
          <t>Laser-Engraved Wood Box with Custom Etched Wines</t>
        </is>
      </c>
      <c r="B4" s="4" t="n">
        <v>12</v>
      </c>
      <c r="C4" s="2" t="n">
        <v>12</v>
      </c>
      <c r="D4" s="5">
        <f>IF(C4&gt;=300,150.45,IF(C4&gt;=204,155.08,IF(C4&gt;=108,161.68,IF(C4&gt;=48,170.85,183.16))))</f>
        <v/>
      </c>
      <c r="E4" s="5" t="n">
        <v>93.75</v>
      </c>
      <c r="F4" s="5">
        <f>D4*C4+E4</f>
        <v/>
      </c>
      <c r="G4" s="5">
        <f>F4*0.15</f>
        <v/>
      </c>
    </row>
    <row r="5">
      <c r="A5" s="3" t="inlineStr">
        <is>
          <t>Laser-Engraved Wood Box with Custom Etched Wine</t>
        </is>
      </c>
      <c r="B5" s="4" t="n">
        <v>12</v>
      </c>
      <c r="C5" s="2" t="n">
        <v>12</v>
      </c>
      <c r="D5" s="5">
        <f>IF(C5&gt;=300,92.8,IF(C5&gt;=204,95.13,IF(C5&gt;=108,98.43,IF(C5&gt;=48,103.0,109.17))))</f>
        <v/>
      </c>
      <c r="E5" s="5" t="n">
        <v>93.75</v>
      </c>
      <c r="F5" s="5">
        <f>D5*C5+E5</f>
        <v/>
      </c>
      <c r="G5" s="5">
        <f>F5*0.15</f>
        <v/>
      </c>
    </row>
    <row r="6">
      <c r="A6" s="3" t="inlineStr">
        <is>
          <t>Etched Cabernet Sauvignon Red Wine Bottle</t>
        </is>
      </c>
      <c r="B6" s="4" t="n">
        <v>12</v>
      </c>
      <c r="C6" s="2" t="n">
        <v>12</v>
      </c>
      <c r="D6" s="5">
        <f>IF(C6&gt;=300,58.8,IF(C6&gt;=204,61.12,IF(C6&gt;=108,64.42,IF(C6&gt;=48,69.0,75.16))))</f>
        <v/>
      </c>
      <c r="E6" s="5" t="n">
        <v>156.25</v>
      </c>
      <c r="F6" s="5">
        <f>D6*C6+E6</f>
        <v/>
      </c>
      <c r="G6" s="5">
        <f>F6*0.15</f>
        <v/>
      </c>
    </row>
    <row r="7">
      <c r="A7" s="3" t="inlineStr">
        <is>
          <t>Etched Chardonnay White Wine Bottle</t>
        </is>
      </c>
      <c r="B7" s="4" t="n">
        <v>12</v>
      </c>
      <c r="C7" s="2" t="n">
        <v>12</v>
      </c>
      <c r="D7" s="5">
        <f>IF(C7&gt;=300,58.8,IF(C7&gt;=204,61.12,IF(C7&gt;=108,64.42,IF(C7&gt;=48,69.0,75.16))))</f>
        <v/>
      </c>
      <c r="E7" s="5" t="n">
        <v>156.25</v>
      </c>
      <c r="F7" s="5">
        <f>D7*C7+E7</f>
        <v/>
      </c>
      <c r="G7" s="5">
        <f>F7*0.15</f>
        <v/>
      </c>
    </row>
    <row r="8">
      <c r="A8" s="3" t="inlineStr">
        <is>
          <t>Etched Pinot Noir Red Wine Bottle</t>
        </is>
      </c>
      <c r="B8" s="4" t="n">
        <v>12</v>
      </c>
      <c r="C8" s="2" t="n">
        <v>12</v>
      </c>
      <c r="D8" s="5">
        <f>IF(C8&gt;=300,58.8,IF(C8&gt;=204,61.12,IF(C8&gt;=108,64.42,IF(C8&gt;=48,69.0,75.16))))</f>
        <v/>
      </c>
      <c r="E8" s="5" t="n">
        <v>156.25</v>
      </c>
      <c r="F8" s="5">
        <f>D8*C8+E8</f>
        <v/>
      </c>
      <c r="G8" s="5">
        <f>F8*0.15</f>
        <v/>
      </c>
    </row>
    <row r="9">
      <c r="A9" s="3" t="inlineStr">
        <is>
          <t>Etched The Prisoner Red Blend Wine Bottle</t>
        </is>
      </c>
      <c r="B9" s="4" t="n">
        <v>12</v>
      </c>
      <c r="C9" s="2" t="n">
        <v>12</v>
      </c>
      <c r="D9" s="5">
        <f>IF(C9&gt;=300,138.31,IF(C9&gt;=204,140.62,IF(C9&gt;=108,143.92,IF(C9&gt;=48,148.5,154.66))))</f>
        <v/>
      </c>
      <c r="E9" s="5" t="n">
        <v>156.25</v>
      </c>
      <c r="F9" s="5">
        <f>D9*C9+E9</f>
        <v/>
      </c>
      <c r="G9" s="5">
        <f>F9*0.15</f>
        <v/>
      </c>
    </row>
    <row r="10">
      <c r="A10" s="3" t="inlineStr">
        <is>
          <t>Etched Stag's Leap Cellars Artemis Cabernet Red Wine Bottle</t>
        </is>
      </c>
      <c r="B10" s="4" t="n">
        <v>12</v>
      </c>
      <c r="C10" s="2" t="n">
        <v>12</v>
      </c>
      <c r="D10" s="5">
        <f>IF(C10&gt;=300,213.7,IF(C10&gt;=204,216.03,IF(C10&gt;=108,219.33,IF(C10&gt;=48,223.9,270.06))))</f>
        <v/>
      </c>
      <c r="E10" s="5" t="n">
        <v>156.25</v>
      </c>
      <c r="F10" s="5">
        <f>D10*C10+E10</f>
        <v/>
      </c>
      <c r="G10" s="5">
        <f>F10*0.15</f>
        <v/>
      </c>
    </row>
    <row r="11">
      <c r="A11" s="3" t="inlineStr">
        <is>
          <t>Etched Charles Krug Cabernet Napa Red Wine Bottle</t>
        </is>
      </c>
      <c r="B11" s="4" t="n">
        <v>12</v>
      </c>
      <c r="C11" s="2" t="n">
        <v>12</v>
      </c>
      <c r="D11" s="5">
        <f>IF(C11&gt;=300,103.72,IF(C11&gt;=204,106.05,IF(C11&gt;=108,109.35,IF(C11&gt;=48,113.92,124.38))))</f>
        <v/>
      </c>
      <c r="E11" s="5" t="n">
        <v>156.25</v>
      </c>
      <c r="F11" s="5">
        <f>D11*C11+E11</f>
        <v/>
      </c>
      <c r="G11" s="5">
        <f>F11*0.15</f>
        <v/>
      </c>
    </row>
    <row r="12">
      <c r="A12" s="3" t="inlineStr">
        <is>
          <t>Etched Far Niente Cabernet Red Wine Bottle</t>
        </is>
      </c>
      <c r="B12" s="4" t="n">
        <v>12</v>
      </c>
      <c r="C12" s="2" t="n">
        <v>12</v>
      </c>
      <c r="D12" s="5">
        <f>IF(C12&gt;=300,282.3,IF(C12&gt;=204,284.62,IF(C12&gt;=108,287.92,IF(C12&gt;=48,292.5,358.66))))</f>
        <v/>
      </c>
      <c r="E12" s="5" t="n">
        <v>156.25</v>
      </c>
      <c r="F12" s="5">
        <f>D12*C12+E12</f>
        <v/>
      </c>
      <c r="G12" s="5">
        <f>F12*0.15</f>
        <v/>
      </c>
    </row>
    <row r="13">
      <c r="A13" s="3" t="inlineStr">
        <is>
          <t>Etched Cakebread Cabernet Red Wine Bottle</t>
        </is>
      </c>
      <c r="B13" s="4" t="n">
        <v>12</v>
      </c>
      <c r="C13" s="2" t="n">
        <v>12</v>
      </c>
      <c r="D13" s="5">
        <f>IF(C13&gt;=300,242.31,IF(C13&gt;=204,244.62,IF(C13&gt;=108,247.92,IF(C13&gt;=48,252.51,263.67))))</f>
        <v/>
      </c>
      <c r="E13" s="5" t="n">
        <v>156.25</v>
      </c>
      <c r="F13" s="5">
        <f>D13*C13+E13</f>
        <v/>
      </c>
      <c r="G13" s="5">
        <f>F13*0.15</f>
        <v/>
      </c>
    </row>
    <row r="14">
      <c r="A14" s="3" t="inlineStr">
        <is>
          <t>Etched Robert Mondavi Private Select Cabernet Red Wine</t>
        </is>
      </c>
      <c r="B14" s="4" t="n">
        <v>12</v>
      </c>
      <c r="C14" s="2" t="n">
        <v>12</v>
      </c>
      <c r="D14" s="5">
        <f>IF(C14&gt;=300,42.3,IF(C14&gt;=204,44.62,IF(C14&gt;=108,67.84,IF(C14&gt;=48,72.42,80.1))))</f>
        <v/>
      </c>
      <c r="E14" s="5" t="n">
        <v>156.25</v>
      </c>
      <c r="F14" s="5">
        <f>D14*C14+E14</f>
        <v/>
      </c>
      <c r="G14" s="5">
        <f>F14*0.15</f>
        <v/>
      </c>
    </row>
    <row r="15">
      <c r="A15" s="3" t="inlineStr">
        <is>
          <t>Etched Coppola Diamond Cabernet Red Wine Bottle</t>
        </is>
      </c>
      <c r="B15" s="4" t="n">
        <v>12</v>
      </c>
      <c r="C15" s="2" t="n">
        <v>12</v>
      </c>
      <c r="D15" s="5">
        <f>IF(C15&gt;=300,67.98,IF(C15&gt;=204,70.3,IF(C15&gt;=108,73.6,IF(C15&gt;=48,78.19,91.47))))</f>
        <v/>
      </c>
      <c r="E15" s="5" t="n">
        <v>156.25</v>
      </c>
      <c r="F15" s="5">
        <f>D15*C15+E15</f>
        <v/>
      </c>
      <c r="G15" s="5">
        <f>F15*0.15</f>
        <v/>
      </c>
    </row>
    <row r="16">
      <c r="A16" s="3" t="inlineStr">
        <is>
          <t>Etched Duckhorn Decoy Cabernet Red Wine Bottle</t>
        </is>
      </c>
      <c r="B16" s="4" t="n">
        <v>12</v>
      </c>
      <c r="C16" s="2" t="n">
        <v>12</v>
      </c>
      <c r="D16" s="5">
        <f>IF(C16&gt;=300,83.02,IF(C16&gt;=204,85.35,IF(C16&gt;=108,88.65,IF(C16&gt;=48,93.93,106.29))))</f>
        <v/>
      </c>
      <c r="E16" s="5" t="n">
        <v>156.25</v>
      </c>
      <c r="F16" s="5">
        <f>D16*C16+E16</f>
        <v/>
      </c>
      <c r="G16" s="5">
        <f>F16*0.15</f>
        <v/>
      </c>
    </row>
    <row r="17">
      <c r="A17" s="3" t="inlineStr">
        <is>
          <t>Etched Jordan Cabernet Alexander Valley Red Wine Bottle</t>
        </is>
      </c>
      <c r="B17" s="4" t="n">
        <v>12</v>
      </c>
      <c r="C17" s="2" t="n">
        <v>12</v>
      </c>
      <c r="D17" s="5">
        <f>IF(C17&gt;=300,172.3,IF(C17&gt;=204,174.63,IF(C17&gt;=108,177.93,IF(C17&gt;=48,182.5,190.08))))</f>
        <v/>
      </c>
      <c r="E17" s="5" t="n">
        <v>156.25</v>
      </c>
      <c r="F17" s="5">
        <f>D17*C17+E17</f>
        <v/>
      </c>
      <c r="G17" s="5">
        <f>F17*0.15</f>
        <v/>
      </c>
    </row>
    <row r="18">
      <c r="A18" s="3" t="inlineStr">
        <is>
          <t>Etched Taittinger Brut La Francaise Champagne Bottle</t>
        </is>
      </c>
      <c r="B18" s="4" t="n">
        <v>12</v>
      </c>
      <c r="C18" s="2" t="n">
        <v>12</v>
      </c>
      <c r="D18" s="5">
        <f>IF(C18&gt;=300,150.31,IF(C18&gt;=204,152.62,IF(C18&gt;=108,155.92,IF(C18&gt;=48,164.5,186.66))))</f>
        <v/>
      </c>
      <c r="E18" s="5" t="n">
        <v>156.25</v>
      </c>
      <c r="F18" s="5">
        <f>D18*C18+E18</f>
        <v/>
      </c>
      <c r="G18" s="5">
        <f>F18*0.15</f>
        <v/>
      </c>
    </row>
    <row r="19">
      <c r="A19" s="3" t="inlineStr">
        <is>
          <t>Etched Far Niente Chardonnay White Wine Bottle</t>
        </is>
      </c>
      <c r="B19" s="4" t="n">
        <v>12</v>
      </c>
      <c r="C19" s="2" t="n">
        <v>12</v>
      </c>
      <c r="D19" s="5">
        <f>IF(C19&gt;=300,175.65,IF(C19&gt;=204,177.96,IF(C19&gt;=108,181.26,IF(C19&gt;=48,185.85,200.01))))</f>
        <v/>
      </c>
      <c r="E19" s="5" t="n">
        <v>156.25</v>
      </c>
      <c r="F19" s="5">
        <f>D19*C19+E19</f>
        <v/>
      </c>
      <c r="G19" s="5">
        <f>F19*0.15</f>
        <v/>
      </c>
    </row>
    <row r="20">
      <c r="A20" s="3" t="inlineStr">
        <is>
          <t>Etched Franciscan Napa Chardonnay White Wine Bottle</t>
        </is>
      </c>
      <c r="B20" s="4" t="n">
        <v>12</v>
      </c>
      <c r="C20" s="2" t="n">
        <v>12</v>
      </c>
      <c r="D20" s="5">
        <f>IF(C20&gt;=300,86.26,IF(C20&gt;=204,88.59,IF(C20&gt;=108,91.89,IF(C20&gt;=48,96.46,102.63))))</f>
        <v/>
      </c>
      <c r="E20" s="5" t="n">
        <v>156.25</v>
      </c>
      <c r="F20" s="5">
        <f>D20*C20+E20</f>
        <v/>
      </c>
      <c r="G20" s="5">
        <f>F20*0.15</f>
        <v/>
      </c>
    </row>
    <row r="21">
      <c r="A21" s="3" t="inlineStr">
        <is>
          <t>Etched Yatir Mt. Amasa Kosher White Wine Bottle</t>
        </is>
      </c>
      <c r="B21" s="4" t="n">
        <v>12</v>
      </c>
      <c r="C21" s="2" t="n">
        <v>12</v>
      </c>
      <c r="D21" s="5">
        <f>IF(C21&gt;=300,117.09,IF(C21&gt;=204,119.4,IF(C21&gt;=108,122.7,IF(C21&gt;=48,127.29,133.44))))</f>
        <v/>
      </c>
      <c r="E21" s="5" t="n">
        <v>156.25</v>
      </c>
      <c r="F21" s="5">
        <f>D21*C21+E21</f>
        <v/>
      </c>
      <c r="G21" s="5">
        <f>F21*0.15</f>
        <v/>
      </c>
    </row>
    <row r="22">
      <c r="A22" s="3" t="inlineStr">
        <is>
          <t>Etched Flowers Rose Wine Bottle</t>
        </is>
      </c>
      <c r="B22" s="4" t="n">
        <v>12</v>
      </c>
      <c r="C22" s="2" t="n">
        <v>12</v>
      </c>
      <c r="D22" s="5">
        <f>IF(C22&gt;=300,85.17,IF(C22&gt;=204,87.48,IF(C22&gt;=108,90.78,IF(C22&gt;=48,95.37,135.81))))</f>
        <v/>
      </c>
      <c r="E22" s="5" t="n">
        <v>156.25</v>
      </c>
      <c r="F22" s="5">
        <f>D22*C22+E22</f>
        <v/>
      </c>
      <c r="G22" s="5">
        <f>F22*0.15</f>
        <v/>
      </c>
    </row>
    <row r="23">
      <c r="A23" s="3" t="inlineStr">
        <is>
          <t>Etched Robert Mondavi Napa Valley Chardonnay Bottle</t>
        </is>
      </c>
      <c r="B23" s="4" t="n">
        <v>12</v>
      </c>
      <c r="C23" s="2" t="n">
        <v>12</v>
      </c>
      <c r="D23" s="5">
        <f>IF(C23&gt;=300,112.3,IF(C23&gt;=204,114.63,IF(C23&gt;=108,117.93,IF(C23&gt;=48,122.5,132.66))))</f>
        <v/>
      </c>
      <c r="E23" s="5" t="n">
        <v>156.25</v>
      </c>
      <c r="F23" s="5">
        <f>D23*C23+E23</f>
        <v/>
      </c>
      <c r="G23" s="5">
        <f>F23*0.15</f>
        <v/>
      </c>
    </row>
    <row r="24">
      <c r="A24" s="3" t="inlineStr">
        <is>
          <t>Etched Duckhorn Decoy Chardonnay White Wine Bottle</t>
        </is>
      </c>
      <c r="B24" s="4" t="n">
        <v>12</v>
      </c>
      <c r="C24" s="2" t="n">
        <v>12</v>
      </c>
      <c r="D24" s="5">
        <f>IF(C24&gt;=300,78.27,IF(C24&gt;=204,80.58,IF(C24&gt;=108,83.88,IF(C24&gt;=48,88.47,96.64))))</f>
        <v/>
      </c>
      <c r="E24" s="5" t="n">
        <v>156.25</v>
      </c>
      <c r="F24" s="5">
        <f>D24*C24+E24</f>
        <v/>
      </c>
      <c r="G24" s="5">
        <f>F24*0.15</f>
        <v/>
      </c>
    </row>
    <row r="25">
      <c r="A25" s="3" t="inlineStr">
        <is>
          <t>Laser-Engraved Wood Box w/Custom Etched Chardonnay Wine</t>
        </is>
      </c>
      <c r="B25" s="4" t="n">
        <v>12</v>
      </c>
      <c r="C25" s="2" t="n">
        <v>12</v>
      </c>
      <c r="D25" s="5">
        <f>IF(C25&gt;=300,136.36,IF(C25&gt;=204,138.69,IF(C25&gt;=108,142.38,IF(C25&gt;=48,147.76,154.05))))</f>
        <v/>
      </c>
      <c r="E25" s="5" t="n">
        <v>93.75</v>
      </c>
      <c r="F25" s="5">
        <f>D25*C25+E25</f>
        <v/>
      </c>
      <c r="G25" s="5">
        <f>F25*0.15</f>
        <v/>
      </c>
    </row>
    <row r="26">
      <c r="A26" s="3" t="inlineStr">
        <is>
          <t>Laser-Engraved Wood Box w/Custom Etched Pinot Noir Wine</t>
        </is>
      </c>
      <c r="B26" s="4" t="n">
        <v>12</v>
      </c>
      <c r="C26" s="2" t="n">
        <v>12</v>
      </c>
      <c r="D26" s="5">
        <f>IF(C26&gt;=300,136.36,IF(C26&gt;=204,138.69,IF(C26&gt;=108,142.38,IF(C26&gt;=48,147.76,154.05))))</f>
        <v/>
      </c>
      <c r="E26" s="5" t="n">
        <v>93.75</v>
      </c>
      <c r="F26" s="5">
        <f>D26*C26+E26</f>
        <v/>
      </c>
      <c r="G26" s="5">
        <f>F26*0.15</f>
        <v/>
      </c>
    </row>
    <row r="27">
      <c r="A27" s="3" t="inlineStr">
        <is>
          <t>Etched Beringer Knight's Valley Cabernet Red Wine Bottle</t>
        </is>
      </c>
      <c r="B27" s="4" t="n">
        <v>12</v>
      </c>
      <c r="C27" s="2" t="n">
        <v>12</v>
      </c>
      <c r="D27" s="5">
        <f>IF(C27&gt;=300,96.88,IF(C27&gt;=204,99.2,IF(C27&gt;=108,102.5,IF(C27&gt;=48,107.88,115.38))))</f>
        <v/>
      </c>
      <c r="E27" s="5" t="n">
        <v>156.25</v>
      </c>
      <c r="F27" s="5">
        <f>D27*C27+E27</f>
        <v/>
      </c>
      <c r="G27" s="5">
        <f>F27*0.15</f>
        <v/>
      </c>
    </row>
    <row r="28">
      <c r="E28" s="6" t="inlineStr">
        <is>
          <t>TOTALS:</t>
        </is>
      </c>
      <c r="F28" s="7">
        <f>SUM(F3:F27)</f>
        <v/>
      </c>
      <c r="G28" s="7">
        <f>SUM(G3:G27)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0" customWidth="1" min="4" max="4"/>
  </cols>
  <sheetData>
    <row r="1">
      <c r="A1" s="8" t="inlineStr">
        <is>
          <t>Product</t>
        </is>
      </c>
      <c r="B1" s="8" t="inlineStr">
        <is>
          <t>Quantity</t>
        </is>
      </c>
      <c r="C1" s="8" t="inlineStr">
        <is>
          <t>Price/Unit</t>
        </is>
      </c>
      <c r="D1" s="8" t="inlineStr">
        <is>
          <t>Notes</t>
        </is>
      </c>
    </row>
    <row r="2">
      <c r="A2" s="9" t="inlineStr">
        <is>
          <t>Laser-Engraved Wood Box with Custom Etched Wine</t>
        </is>
      </c>
      <c r="B2" s="9" t="inlineStr">
        <is>
          <t>12+</t>
        </is>
      </c>
      <c r="C2" s="10" t="n">
        <v>154.05</v>
      </c>
      <c r="D2" s="9" t="n"/>
    </row>
    <row r="3">
      <c r="A3" s="3" t="inlineStr"/>
      <c r="B3" s="3" t="inlineStr">
        <is>
          <t>48+</t>
        </is>
      </c>
      <c r="C3" s="5" t="n">
        <v>147.76</v>
      </c>
      <c r="D3" s="3" t="inlineStr"/>
    </row>
    <row r="4">
      <c r="A4" s="9" t="inlineStr"/>
      <c r="B4" s="9" t="inlineStr">
        <is>
          <t>108+</t>
        </is>
      </c>
      <c r="C4" s="10" t="n">
        <v>142.38</v>
      </c>
      <c r="D4" s="9" t="inlineStr"/>
    </row>
    <row r="5">
      <c r="A5" s="3" t="inlineStr"/>
      <c r="B5" s="3" t="inlineStr">
        <is>
          <t>204+</t>
        </is>
      </c>
      <c r="C5" s="5" t="n">
        <v>138.69</v>
      </c>
      <c r="D5" s="3" t="inlineStr"/>
    </row>
    <row r="6">
      <c r="A6" s="9" t="inlineStr"/>
      <c r="B6" s="9" t="inlineStr">
        <is>
          <t>300+</t>
        </is>
      </c>
      <c r="C6" s="10" t="n">
        <v>136.36</v>
      </c>
      <c r="D6" s="9" t="inlineStr"/>
    </row>
    <row r="8">
      <c r="A8" s="9" t="inlineStr">
        <is>
          <t>Laser-Engraved Wood Box with Custom Etched Wines</t>
        </is>
      </c>
      <c r="B8" s="9" t="inlineStr">
        <is>
          <t>12+</t>
        </is>
      </c>
      <c r="C8" s="10" t="n">
        <v>183.16</v>
      </c>
      <c r="D8" s="9" t="n"/>
    </row>
    <row r="9">
      <c r="A9" s="3" t="inlineStr"/>
      <c r="B9" s="3" t="inlineStr">
        <is>
          <t>48+</t>
        </is>
      </c>
      <c r="C9" s="5" t="n">
        <v>170.85</v>
      </c>
      <c r="D9" s="3" t="inlineStr"/>
    </row>
    <row r="10">
      <c r="A10" s="9" t="inlineStr"/>
      <c r="B10" s="9" t="inlineStr">
        <is>
          <t>108+</t>
        </is>
      </c>
      <c r="C10" s="10" t="n">
        <v>161.68</v>
      </c>
      <c r="D10" s="9" t="inlineStr"/>
    </row>
    <row r="11">
      <c r="A11" s="3" t="inlineStr"/>
      <c r="B11" s="3" t="inlineStr">
        <is>
          <t>204+</t>
        </is>
      </c>
      <c r="C11" s="5" t="n">
        <v>155.08</v>
      </c>
      <c r="D11" s="3" t="inlineStr"/>
    </row>
    <row r="12">
      <c r="A12" s="9" t="inlineStr"/>
      <c r="B12" s="9" t="inlineStr">
        <is>
          <t>300+</t>
        </is>
      </c>
      <c r="C12" s="10" t="n">
        <v>150.45</v>
      </c>
      <c r="D12" s="9" t="inlineStr"/>
    </row>
    <row r="14">
      <c r="A14" s="9" t="inlineStr">
        <is>
          <t>Laser-Engraved Wood Box with Custom Etched Wine</t>
        </is>
      </c>
      <c r="B14" s="9" t="inlineStr">
        <is>
          <t>12+</t>
        </is>
      </c>
      <c r="C14" s="10" t="n">
        <v>109.17</v>
      </c>
      <c r="D14" s="9" t="inlineStr">
        <is>
          <t>One color fill</t>
        </is>
      </c>
    </row>
    <row r="15">
      <c r="A15" s="3" t="inlineStr"/>
      <c r="B15" s="3" t="inlineStr">
        <is>
          <t>48+</t>
        </is>
      </c>
      <c r="C15" s="5" t="n">
        <v>103</v>
      </c>
      <c r="D15" s="3" t="inlineStr"/>
    </row>
    <row r="16">
      <c r="A16" s="9" t="inlineStr"/>
      <c r="B16" s="9" t="inlineStr">
        <is>
          <t>108+</t>
        </is>
      </c>
      <c r="C16" s="10" t="n">
        <v>98.43000000000001</v>
      </c>
      <c r="D16" s="9" t="inlineStr"/>
    </row>
    <row r="17">
      <c r="A17" s="3" t="inlineStr"/>
      <c r="B17" s="3" t="inlineStr">
        <is>
          <t>204+</t>
        </is>
      </c>
      <c r="C17" s="5" t="n">
        <v>95.13</v>
      </c>
      <c r="D17" s="3" t="inlineStr"/>
    </row>
    <row r="18">
      <c r="A18" s="9" t="inlineStr"/>
      <c r="B18" s="9" t="inlineStr">
        <is>
          <t>300+</t>
        </is>
      </c>
      <c r="C18" s="10" t="n">
        <v>92.8</v>
      </c>
      <c r="D18" s="9" t="inlineStr"/>
    </row>
    <row r="20">
      <c r="A20" s="9" t="inlineStr">
        <is>
          <t>Etched Cabernet Sauvignon Red Wine Bottle</t>
        </is>
      </c>
      <c r="B20" s="9" t="inlineStr">
        <is>
          <t>12+</t>
        </is>
      </c>
      <c r="C20" s="10" t="n">
        <v>75.16</v>
      </c>
      <c r="D20" s="9" t="inlineStr">
        <is>
          <t>One color fill</t>
        </is>
      </c>
    </row>
    <row r="21">
      <c r="A21" s="3" t="inlineStr"/>
      <c r="B21" s="3" t="inlineStr">
        <is>
          <t>48+</t>
        </is>
      </c>
      <c r="C21" s="5" t="n">
        <v>69</v>
      </c>
      <c r="D21" s="3" t="inlineStr"/>
    </row>
    <row r="22">
      <c r="A22" s="9" t="inlineStr"/>
      <c r="B22" s="9" t="inlineStr">
        <is>
          <t>108+</t>
        </is>
      </c>
      <c r="C22" s="10" t="n">
        <v>64.42</v>
      </c>
      <c r="D22" s="9" t="inlineStr"/>
    </row>
    <row r="23">
      <c r="A23" s="3" t="inlineStr"/>
      <c r="B23" s="3" t="inlineStr">
        <is>
          <t>204+</t>
        </is>
      </c>
      <c r="C23" s="5" t="n">
        <v>61.12</v>
      </c>
      <c r="D23" s="3" t="inlineStr"/>
    </row>
    <row r="24">
      <c r="A24" s="9" t="inlineStr"/>
      <c r="B24" s="9" t="inlineStr">
        <is>
          <t>300+</t>
        </is>
      </c>
      <c r="C24" s="10" t="n">
        <v>58.8</v>
      </c>
      <c r="D24" s="9" t="inlineStr"/>
    </row>
    <row r="26">
      <c r="A26" s="9" t="inlineStr">
        <is>
          <t>Etched Chardonnay White Wine Bottle</t>
        </is>
      </c>
      <c r="B26" s="9" t="inlineStr">
        <is>
          <t>12+</t>
        </is>
      </c>
      <c r="C26" s="10" t="n">
        <v>75.16</v>
      </c>
      <c r="D26" s="9" t="inlineStr">
        <is>
          <t>One color fill</t>
        </is>
      </c>
    </row>
    <row r="27">
      <c r="A27" s="3" t="inlineStr"/>
      <c r="B27" s="3" t="inlineStr">
        <is>
          <t>48+</t>
        </is>
      </c>
      <c r="C27" s="5" t="n">
        <v>69</v>
      </c>
      <c r="D27" s="3" t="inlineStr"/>
    </row>
    <row r="28">
      <c r="A28" s="9" t="inlineStr"/>
      <c r="B28" s="9" t="inlineStr">
        <is>
          <t>108+</t>
        </is>
      </c>
      <c r="C28" s="10" t="n">
        <v>64.42</v>
      </c>
      <c r="D28" s="9" t="inlineStr"/>
    </row>
    <row r="29">
      <c r="A29" s="3" t="inlineStr"/>
      <c r="B29" s="3" t="inlineStr">
        <is>
          <t>204+</t>
        </is>
      </c>
      <c r="C29" s="5" t="n">
        <v>61.12</v>
      </c>
      <c r="D29" s="3" t="inlineStr"/>
    </row>
    <row r="30">
      <c r="A30" s="9" t="inlineStr"/>
      <c r="B30" s="9" t="inlineStr">
        <is>
          <t>300+</t>
        </is>
      </c>
      <c r="C30" s="10" t="n">
        <v>58.8</v>
      </c>
      <c r="D30" s="9" t="inlineStr"/>
    </row>
    <row r="32">
      <c r="A32" s="9" t="inlineStr">
        <is>
          <t>Etched Pinot Noir Red Wine Bottle</t>
        </is>
      </c>
      <c r="B32" s="9" t="inlineStr">
        <is>
          <t>12+</t>
        </is>
      </c>
      <c r="C32" s="10" t="n">
        <v>75.16</v>
      </c>
      <c r="D32" s="9" t="inlineStr">
        <is>
          <t>One color fill</t>
        </is>
      </c>
    </row>
    <row r="33">
      <c r="A33" s="3" t="inlineStr"/>
      <c r="B33" s="3" t="inlineStr">
        <is>
          <t>48+</t>
        </is>
      </c>
      <c r="C33" s="5" t="n">
        <v>69</v>
      </c>
      <c r="D33" s="3" t="inlineStr"/>
    </row>
    <row r="34">
      <c r="A34" s="9" t="inlineStr"/>
      <c r="B34" s="9" t="inlineStr">
        <is>
          <t>108+</t>
        </is>
      </c>
      <c r="C34" s="10" t="n">
        <v>64.42</v>
      </c>
      <c r="D34" s="9" t="inlineStr"/>
    </row>
    <row r="35">
      <c r="A35" s="3" t="inlineStr"/>
      <c r="B35" s="3" t="inlineStr">
        <is>
          <t>204+</t>
        </is>
      </c>
      <c r="C35" s="5" t="n">
        <v>61.12</v>
      </c>
      <c r="D35" s="3" t="inlineStr"/>
    </row>
    <row r="36">
      <c r="A36" s="9" t="inlineStr"/>
      <c r="B36" s="9" t="inlineStr">
        <is>
          <t>300+</t>
        </is>
      </c>
      <c r="C36" s="10" t="n">
        <v>58.8</v>
      </c>
      <c r="D36" s="9" t="inlineStr"/>
    </row>
    <row r="38">
      <c r="A38" s="9" t="inlineStr">
        <is>
          <t>Etched The Prisoner Red Blend Wine Bottle</t>
        </is>
      </c>
      <c r="B38" s="9" t="inlineStr">
        <is>
          <t>12+</t>
        </is>
      </c>
      <c r="C38" s="10" t="n">
        <v>154.66</v>
      </c>
      <c r="D38" s="9" t="inlineStr">
        <is>
          <t>One color fill</t>
        </is>
      </c>
    </row>
    <row r="39">
      <c r="A39" s="3" t="inlineStr"/>
      <c r="B39" s="3" t="inlineStr">
        <is>
          <t>48+</t>
        </is>
      </c>
      <c r="C39" s="5" t="n">
        <v>148.5</v>
      </c>
      <c r="D39" s="3" t="inlineStr"/>
    </row>
    <row r="40">
      <c r="A40" s="9" t="inlineStr"/>
      <c r="B40" s="9" t="inlineStr">
        <is>
          <t>108+</t>
        </is>
      </c>
      <c r="C40" s="10" t="n">
        <v>143.92</v>
      </c>
      <c r="D40" s="9" t="inlineStr"/>
    </row>
    <row r="41">
      <c r="A41" s="3" t="inlineStr"/>
      <c r="B41" s="3" t="inlineStr">
        <is>
          <t>204+</t>
        </is>
      </c>
      <c r="C41" s="5" t="n">
        <v>140.62</v>
      </c>
      <c r="D41" s="3" t="inlineStr"/>
    </row>
    <row r="42">
      <c r="A42" s="9" t="inlineStr"/>
      <c r="B42" s="9" t="inlineStr">
        <is>
          <t>300+</t>
        </is>
      </c>
      <c r="C42" s="10" t="n">
        <v>138.31</v>
      </c>
      <c r="D42" s="9" t="inlineStr"/>
    </row>
    <row r="44">
      <c r="A44" s="9" t="inlineStr">
        <is>
          <t>Etched Stag's Leap Cellars Artemis Cabernet Red Wine Bottle</t>
        </is>
      </c>
      <c r="B44" s="9" t="inlineStr">
        <is>
          <t>12+</t>
        </is>
      </c>
      <c r="C44" s="10" t="n">
        <v>270.06</v>
      </c>
      <c r="D44" s="9" t="inlineStr">
        <is>
          <t>One color fill</t>
        </is>
      </c>
    </row>
    <row r="45">
      <c r="A45" s="3" t="inlineStr"/>
      <c r="B45" s="3" t="inlineStr">
        <is>
          <t>48+</t>
        </is>
      </c>
      <c r="C45" s="5" t="n">
        <v>223.9</v>
      </c>
      <c r="D45" s="3" t="inlineStr"/>
    </row>
    <row r="46">
      <c r="A46" s="9" t="inlineStr"/>
      <c r="B46" s="9" t="inlineStr">
        <is>
          <t>108+</t>
        </is>
      </c>
      <c r="C46" s="10" t="n">
        <v>219.33</v>
      </c>
      <c r="D46" s="9" t="inlineStr"/>
    </row>
    <row r="47">
      <c r="A47" s="3" t="inlineStr"/>
      <c r="B47" s="3" t="inlineStr">
        <is>
          <t>204+</t>
        </is>
      </c>
      <c r="C47" s="5" t="n">
        <v>216.03</v>
      </c>
      <c r="D47" s="3" t="inlineStr"/>
    </row>
    <row r="48">
      <c r="A48" s="9" t="inlineStr"/>
      <c r="B48" s="9" t="inlineStr">
        <is>
          <t>300+</t>
        </is>
      </c>
      <c r="C48" s="10" t="n">
        <v>213.7</v>
      </c>
      <c r="D48" s="9" t="inlineStr"/>
    </row>
    <row r="50">
      <c r="A50" s="9" t="inlineStr">
        <is>
          <t>Etched Charles Krug Cabernet Napa Red Wine Bottle</t>
        </is>
      </c>
      <c r="B50" s="9" t="inlineStr">
        <is>
          <t>12+</t>
        </is>
      </c>
      <c r="C50" s="10" t="n">
        <v>124.38</v>
      </c>
      <c r="D50" s="9" t="inlineStr">
        <is>
          <t>One color fill</t>
        </is>
      </c>
    </row>
    <row r="51">
      <c r="A51" s="3" t="inlineStr"/>
      <c r="B51" s="3" t="inlineStr">
        <is>
          <t>48+</t>
        </is>
      </c>
      <c r="C51" s="5" t="n">
        <v>113.92</v>
      </c>
      <c r="D51" s="3" t="inlineStr"/>
    </row>
    <row r="52">
      <c r="A52" s="9" t="inlineStr"/>
      <c r="B52" s="9" t="inlineStr">
        <is>
          <t>108+</t>
        </is>
      </c>
      <c r="C52" s="10" t="n">
        <v>109.35</v>
      </c>
      <c r="D52" s="9" t="inlineStr"/>
    </row>
    <row r="53">
      <c r="A53" s="3" t="inlineStr"/>
      <c r="B53" s="3" t="inlineStr">
        <is>
          <t>204+</t>
        </is>
      </c>
      <c r="C53" s="5" t="n">
        <v>106.05</v>
      </c>
      <c r="D53" s="3" t="inlineStr"/>
    </row>
    <row r="54">
      <c r="A54" s="9" t="inlineStr"/>
      <c r="B54" s="9" t="inlineStr">
        <is>
          <t>300+</t>
        </is>
      </c>
      <c r="C54" s="10" t="n">
        <v>103.72</v>
      </c>
      <c r="D54" s="9" t="inlineStr"/>
    </row>
    <row r="56">
      <c r="A56" s="9" t="inlineStr">
        <is>
          <t>Etched Far Niente Cabernet Red Wine Bottle</t>
        </is>
      </c>
      <c r="B56" s="9" t="inlineStr">
        <is>
          <t>12+</t>
        </is>
      </c>
      <c r="C56" s="10" t="n">
        <v>358.66</v>
      </c>
      <c r="D56" s="9" t="inlineStr">
        <is>
          <t>One color fill</t>
        </is>
      </c>
    </row>
    <row r="57">
      <c r="A57" s="3" t="inlineStr"/>
      <c r="B57" s="3" t="inlineStr">
        <is>
          <t>48+</t>
        </is>
      </c>
      <c r="C57" s="5" t="n">
        <v>292.5</v>
      </c>
      <c r="D57" s="3" t="inlineStr"/>
    </row>
    <row r="58">
      <c r="A58" s="9" t="inlineStr"/>
      <c r="B58" s="9" t="inlineStr">
        <is>
          <t>108+</t>
        </is>
      </c>
      <c r="C58" s="10" t="n">
        <v>287.92</v>
      </c>
      <c r="D58" s="9" t="inlineStr"/>
    </row>
    <row r="59">
      <c r="A59" s="3" t="inlineStr"/>
      <c r="B59" s="3" t="inlineStr">
        <is>
          <t>204+</t>
        </is>
      </c>
      <c r="C59" s="5" t="n">
        <v>284.62</v>
      </c>
      <c r="D59" s="3" t="inlineStr"/>
    </row>
    <row r="60">
      <c r="A60" s="9" t="inlineStr"/>
      <c r="B60" s="9" t="inlineStr">
        <is>
          <t>300+</t>
        </is>
      </c>
      <c r="C60" s="10" t="n">
        <v>282.3</v>
      </c>
      <c r="D60" s="9" t="inlineStr"/>
    </row>
    <row r="62">
      <c r="A62" s="9" t="inlineStr">
        <is>
          <t>Etched Cakebread Cabernet Red Wine Bottle</t>
        </is>
      </c>
      <c r="B62" s="9" t="inlineStr">
        <is>
          <t>12+</t>
        </is>
      </c>
      <c r="C62" s="10" t="n">
        <v>263.67</v>
      </c>
      <c r="D62" s="9" t="inlineStr">
        <is>
          <t>One color fill</t>
        </is>
      </c>
    </row>
    <row r="63">
      <c r="A63" s="3" t="inlineStr"/>
      <c r="B63" s="3" t="inlineStr">
        <is>
          <t>48+</t>
        </is>
      </c>
      <c r="C63" s="5" t="n">
        <v>252.51</v>
      </c>
      <c r="D63" s="3" t="inlineStr"/>
    </row>
    <row r="64">
      <c r="A64" s="9" t="inlineStr"/>
      <c r="B64" s="9" t="inlineStr">
        <is>
          <t>108+</t>
        </is>
      </c>
      <c r="C64" s="10" t="n">
        <v>247.92</v>
      </c>
      <c r="D64" s="9" t="inlineStr"/>
    </row>
    <row r="65">
      <c r="A65" s="3" t="inlineStr"/>
      <c r="B65" s="3" t="inlineStr">
        <is>
          <t>204+</t>
        </is>
      </c>
      <c r="C65" s="5" t="n">
        <v>244.62</v>
      </c>
      <c r="D65" s="3" t="inlineStr"/>
    </row>
    <row r="66">
      <c r="A66" s="9" t="inlineStr"/>
      <c r="B66" s="9" t="inlineStr">
        <is>
          <t>300+</t>
        </is>
      </c>
      <c r="C66" s="10" t="n">
        <v>242.31</v>
      </c>
      <c r="D66" s="9" t="inlineStr"/>
    </row>
    <row r="68">
      <c r="A68" s="9" t="inlineStr">
        <is>
          <t>Etched Robert Mondavi Private Select Cabernet Red Wine</t>
        </is>
      </c>
      <c r="B68" s="9" t="inlineStr">
        <is>
          <t>12+</t>
        </is>
      </c>
      <c r="C68" s="10" t="n">
        <v>80.09999999999999</v>
      </c>
      <c r="D68" s="9" t="inlineStr">
        <is>
          <t>One color fill</t>
        </is>
      </c>
    </row>
    <row r="69">
      <c r="A69" s="3" t="inlineStr"/>
      <c r="B69" s="3" t="inlineStr">
        <is>
          <t>48+</t>
        </is>
      </c>
      <c r="C69" s="5" t="n">
        <v>72.42</v>
      </c>
      <c r="D69" s="3" t="inlineStr"/>
    </row>
    <row r="70">
      <c r="A70" s="9" t="inlineStr"/>
      <c r="B70" s="9" t="inlineStr">
        <is>
          <t>108+</t>
        </is>
      </c>
      <c r="C70" s="10" t="n">
        <v>67.84</v>
      </c>
      <c r="D70" s="9" t="inlineStr"/>
    </row>
    <row r="71">
      <c r="A71" s="3" t="inlineStr"/>
      <c r="B71" s="3" t="inlineStr">
        <is>
          <t>204+</t>
        </is>
      </c>
      <c r="C71" s="5" t="n">
        <v>44.62</v>
      </c>
      <c r="D71" s="3" t="inlineStr"/>
    </row>
    <row r="72">
      <c r="A72" s="9" t="inlineStr"/>
      <c r="B72" s="9" t="inlineStr">
        <is>
          <t>300+</t>
        </is>
      </c>
      <c r="C72" s="10" t="n">
        <v>42.3</v>
      </c>
      <c r="D72" s="9" t="inlineStr"/>
    </row>
    <row r="74">
      <c r="A74" s="9" t="inlineStr">
        <is>
          <t>Etched Coppola Diamond Cabernet Red Wine Bottle</t>
        </is>
      </c>
      <c r="B74" s="9" t="inlineStr">
        <is>
          <t>12+</t>
        </is>
      </c>
      <c r="C74" s="10" t="n">
        <v>91.47</v>
      </c>
      <c r="D74" s="9" t="inlineStr">
        <is>
          <t>One color fill</t>
        </is>
      </c>
    </row>
    <row r="75">
      <c r="A75" s="3" t="inlineStr"/>
      <c r="B75" s="3" t="inlineStr">
        <is>
          <t>48+</t>
        </is>
      </c>
      <c r="C75" s="5" t="n">
        <v>78.19</v>
      </c>
      <c r="D75" s="3" t="inlineStr"/>
    </row>
    <row r="76">
      <c r="A76" s="9" t="inlineStr"/>
      <c r="B76" s="9" t="inlineStr">
        <is>
          <t>108+</t>
        </is>
      </c>
      <c r="C76" s="10" t="n">
        <v>73.59999999999999</v>
      </c>
      <c r="D76" s="9" t="inlineStr"/>
    </row>
    <row r="77">
      <c r="A77" s="3" t="inlineStr"/>
      <c r="B77" s="3" t="inlineStr">
        <is>
          <t>204+</t>
        </is>
      </c>
      <c r="C77" s="5" t="n">
        <v>70.3</v>
      </c>
      <c r="D77" s="3" t="inlineStr"/>
    </row>
    <row r="78">
      <c r="A78" s="9" t="inlineStr"/>
      <c r="B78" s="9" t="inlineStr">
        <is>
          <t>300+</t>
        </is>
      </c>
      <c r="C78" s="10" t="n">
        <v>67.98</v>
      </c>
      <c r="D78" s="9" t="inlineStr"/>
    </row>
    <row r="80">
      <c r="A80" s="9" t="inlineStr">
        <is>
          <t>Etched Duckhorn Decoy Cabernet Red Wine Bottle</t>
        </is>
      </c>
      <c r="B80" s="9" t="inlineStr">
        <is>
          <t>12+</t>
        </is>
      </c>
      <c r="C80" s="10" t="n">
        <v>106.29</v>
      </c>
      <c r="D80" s="9" t="inlineStr">
        <is>
          <t>One color fill</t>
        </is>
      </c>
    </row>
    <row r="81">
      <c r="A81" s="3" t="inlineStr"/>
      <c r="B81" s="3" t="inlineStr">
        <is>
          <t>48+</t>
        </is>
      </c>
      <c r="C81" s="5" t="n">
        <v>93.93000000000001</v>
      </c>
      <c r="D81" s="3" t="inlineStr"/>
    </row>
    <row r="82">
      <c r="A82" s="9" t="inlineStr"/>
      <c r="B82" s="9" t="inlineStr">
        <is>
          <t>108+</t>
        </is>
      </c>
      <c r="C82" s="10" t="n">
        <v>88.65000000000001</v>
      </c>
      <c r="D82" s="9" t="inlineStr"/>
    </row>
    <row r="83">
      <c r="A83" s="3" t="inlineStr"/>
      <c r="B83" s="3" t="inlineStr">
        <is>
          <t>204+</t>
        </is>
      </c>
      <c r="C83" s="5" t="n">
        <v>85.34999999999999</v>
      </c>
      <c r="D83" s="3" t="inlineStr"/>
    </row>
    <row r="84">
      <c r="A84" s="9" t="inlineStr"/>
      <c r="B84" s="9" t="inlineStr">
        <is>
          <t>300+</t>
        </is>
      </c>
      <c r="C84" s="10" t="n">
        <v>83.02</v>
      </c>
      <c r="D84" s="9" t="inlineStr"/>
    </row>
    <row r="86">
      <c r="A86" s="9" t="inlineStr">
        <is>
          <t>Etched Jordan Cabernet Alexander Valley Red Wine Bottle</t>
        </is>
      </c>
      <c r="B86" s="9" t="inlineStr">
        <is>
          <t>12+</t>
        </is>
      </c>
      <c r="C86" s="10" t="n">
        <v>190.08</v>
      </c>
      <c r="D86" s="9" t="inlineStr">
        <is>
          <t>One color fill</t>
        </is>
      </c>
    </row>
    <row r="87">
      <c r="A87" s="3" t="inlineStr"/>
      <c r="B87" s="3" t="inlineStr">
        <is>
          <t>48+</t>
        </is>
      </c>
      <c r="C87" s="5" t="n">
        <v>182.5</v>
      </c>
      <c r="D87" s="3" t="inlineStr"/>
    </row>
    <row r="88">
      <c r="A88" s="9" t="inlineStr"/>
      <c r="B88" s="9" t="inlineStr">
        <is>
          <t>108+</t>
        </is>
      </c>
      <c r="C88" s="10" t="n">
        <v>177.93</v>
      </c>
      <c r="D88" s="9" t="inlineStr"/>
    </row>
    <row r="89">
      <c r="A89" s="3" t="inlineStr"/>
      <c r="B89" s="3" t="inlineStr">
        <is>
          <t>204+</t>
        </is>
      </c>
      <c r="C89" s="5" t="n">
        <v>174.63</v>
      </c>
      <c r="D89" s="3" t="inlineStr"/>
    </row>
    <row r="90">
      <c r="A90" s="9" t="inlineStr"/>
      <c r="B90" s="9" t="inlineStr">
        <is>
          <t>300+</t>
        </is>
      </c>
      <c r="C90" s="10" t="n">
        <v>172.3</v>
      </c>
      <c r="D90" s="9" t="inlineStr"/>
    </row>
    <row r="92">
      <c r="A92" s="9" t="inlineStr">
        <is>
          <t>Etched Taittinger Brut La Francaise Champagne Bottle</t>
        </is>
      </c>
      <c r="B92" s="9" t="inlineStr">
        <is>
          <t>12+</t>
        </is>
      </c>
      <c r="C92" s="10" t="n">
        <v>186.66</v>
      </c>
      <c r="D92" s="9" t="inlineStr">
        <is>
          <t>One color fill</t>
        </is>
      </c>
    </row>
    <row r="93">
      <c r="A93" s="3" t="inlineStr"/>
      <c r="B93" s="3" t="inlineStr">
        <is>
          <t>48+</t>
        </is>
      </c>
      <c r="C93" s="5" t="n">
        <v>164.5</v>
      </c>
      <c r="D93" s="3" t="inlineStr"/>
    </row>
    <row r="94">
      <c r="A94" s="9" t="inlineStr"/>
      <c r="B94" s="9" t="inlineStr">
        <is>
          <t>108+</t>
        </is>
      </c>
      <c r="C94" s="10" t="n">
        <v>155.92</v>
      </c>
      <c r="D94" s="9" t="inlineStr"/>
    </row>
    <row r="95">
      <c r="A95" s="3" t="inlineStr"/>
      <c r="B95" s="3" t="inlineStr">
        <is>
          <t>204+</t>
        </is>
      </c>
      <c r="C95" s="5" t="n">
        <v>152.62</v>
      </c>
      <c r="D95" s="3" t="inlineStr"/>
    </row>
    <row r="96">
      <c r="A96" s="9" t="inlineStr"/>
      <c r="B96" s="9" t="inlineStr">
        <is>
          <t>300+</t>
        </is>
      </c>
      <c r="C96" s="10" t="n">
        <v>150.31</v>
      </c>
      <c r="D96" s="9" t="inlineStr"/>
    </row>
    <row r="98">
      <c r="A98" s="9" t="inlineStr">
        <is>
          <t>Etched Far Niente Chardonnay White Wine Bottle</t>
        </is>
      </c>
      <c r="B98" s="9" t="inlineStr">
        <is>
          <t>12+</t>
        </is>
      </c>
      <c r="C98" s="10" t="n">
        <v>200.01</v>
      </c>
      <c r="D98" s="9" t="inlineStr">
        <is>
          <t>One color fill</t>
        </is>
      </c>
    </row>
    <row r="99">
      <c r="A99" s="3" t="inlineStr"/>
      <c r="B99" s="3" t="inlineStr">
        <is>
          <t>48+</t>
        </is>
      </c>
      <c r="C99" s="5" t="n">
        <v>185.85</v>
      </c>
      <c r="D99" s="3" t="inlineStr"/>
    </row>
    <row r="100">
      <c r="A100" s="9" t="inlineStr"/>
      <c r="B100" s="9" t="inlineStr">
        <is>
          <t>108+</t>
        </is>
      </c>
      <c r="C100" s="10" t="n">
        <v>181.26</v>
      </c>
      <c r="D100" s="9" t="inlineStr"/>
    </row>
    <row r="101">
      <c r="A101" s="3" t="inlineStr"/>
      <c r="B101" s="3" t="inlineStr">
        <is>
          <t>204+</t>
        </is>
      </c>
      <c r="C101" s="5" t="n">
        <v>177.96</v>
      </c>
      <c r="D101" s="3" t="inlineStr"/>
    </row>
    <row r="102">
      <c r="A102" s="9" t="inlineStr"/>
      <c r="B102" s="9" t="inlineStr">
        <is>
          <t>300+</t>
        </is>
      </c>
      <c r="C102" s="10" t="n">
        <v>175.65</v>
      </c>
      <c r="D102" s="9" t="inlineStr"/>
    </row>
    <row r="104">
      <c r="A104" s="9" t="inlineStr">
        <is>
          <t>Etched Franciscan Napa Chardonnay White Wine Bottle</t>
        </is>
      </c>
      <c r="B104" s="9" t="inlineStr">
        <is>
          <t>12+</t>
        </is>
      </c>
      <c r="C104" s="10" t="n">
        <v>102.63</v>
      </c>
      <c r="D104" s="9" t="inlineStr">
        <is>
          <t>One color fill</t>
        </is>
      </c>
    </row>
    <row r="105">
      <c r="A105" s="3" t="inlineStr"/>
      <c r="B105" s="3" t="inlineStr">
        <is>
          <t>48+</t>
        </is>
      </c>
      <c r="C105" s="5" t="n">
        <v>96.45999999999999</v>
      </c>
      <c r="D105" s="3" t="inlineStr"/>
    </row>
    <row r="106">
      <c r="A106" s="9" t="inlineStr"/>
      <c r="B106" s="9" t="inlineStr">
        <is>
          <t>108+</t>
        </is>
      </c>
      <c r="C106" s="10" t="n">
        <v>91.89</v>
      </c>
      <c r="D106" s="9" t="inlineStr"/>
    </row>
    <row r="107">
      <c r="A107" s="3" t="inlineStr"/>
      <c r="B107" s="3" t="inlineStr">
        <is>
          <t>204+</t>
        </is>
      </c>
      <c r="C107" s="5" t="n">
        <v>88.59</v>
      </c>
      <c r="D107" s="3" t="inlineStr"/>
    </row>
    <row r="108">
      <c r="A108" s="9" t="inlineStr"/>
      <c r="B108" s="9" t="inlineStr">
        <is>
          <t>300+</t>
        </is>
      </c>
      <c r="C108" s="10" t="n">
        <v>86.26000000000001</v>
      </c>
      <c r="D108" s="9" t="inlineStr"/>
    </row>
    <row r="110">
      <c r="A110" s="9" t="inlineStr">
        <is>
          <t>Etched Yatir Mt. Amasa Kosher White Wine Bottle</t>
        </is>
      </c>
      <c r="B110" s="9" t="inlineStr">
        <is>
          <t>12+</t>
        </is>
      </c>
      <c r="C110" s="10" t="n">
        <v>133.44</v>
      </c>
      <c r="D110" s="9" t="inlineStr">
        <is>
          <t>One color fill</t>
        </is>
      </c>
    </row>
    <row r="111">
      <c r="A111" s="3" t="inlineStr"/>
      <c r="B111" s="3" t="inlineStr">
        <is>
          <t>48+</t>
        </is>
      </c>
      <c r="C111" s="5" t="n">
        <v>127.29</v>
      </c>
      <c r="D111" s="3" t="inlineStr"/>
    </row>
    <row r="112">
      <c r="A112" s="9" t="inlineStr"/>
      <c r="B112" s="9" t="inlineStr">
        <is>
          <t>108+</t>
        </is>
      </c>
      <c r="C112" s="10" t="n">
        <v>122.7</v>
      </c>
      <c r="D112" s="9" t="inlineStr"/>
    </row>
    <row r="113">
      <c r="A113" s="3" t="inlineStr"/>
      <c r="B113" s="3" t="inlineStr">
        <is>
          <t>204+</t>
        </is>
      </c>
      <c r="C113" s="5" t="n">
        <v>119.4</v>
      </c>
      <c r="D113" s="3" t="inlineStr"/>
    </row>
    <row r="114">
      <c r="A114" s="9" t="inlineStr"/>
      <c r="B114" s="9" t="inlineStr">
        <is>
          <t>300+</t>
        </is>
      </c>
      <c r="C114" s="10" t="n">
        <v>117.09</v>
      </c>
      <c r="D114" s="9" t="inlineStr"/>
    </row>
    <row r="116">
      <c r="A116" s="9" t="inlineStr">
        <is>
          <t>Etched Flowers Rose Wine Bottle</t>
        </is>
      </c>
      <c r="B116" s="9" t="inlineStr">
        <is>
          <t>12+</t>
        </is>
      </c>
      <c r="C116" s="10" t="n">
        <v>135.81</v>
      </c>
      <c r="D116" s="9" t="inlineStr">
        <is>
          <t>One color fill</t>
        </is>
      </c>
    </row>
    <row r="117">
      <c r="A117" s="3" t="inlineStr"/>
      <c r="B117" s="3" t="inlineStr">
        <is>
          <t>48+</t>
        </is>
      </c>
      <c r="C117" s="5" t="n">
        <v>95.37</v>
      </c>
      <c r="D117" s="3" t="inlineStr"/>
    </row>
    <row r="118">
      <c r="A118" s="9" t="inlineStr"/>
      <c r="B118" s="9" t="inlineStr">
        <is>
          <t>108+</t>
        </is>
      </c>
      <c r="C118" s="10" t="n">
        <v>90.78</v>
      </c>
      <c r="D118" s="9" t="inlineStr"/>
    </row>
    <row r="119">
      <c r="A119" s="3" t="inlineStr"/>
      <c r="B119" s="3" t="inlineStr">
        <is>
          <t>204+</t>
        </is>
      </c>
      <c r="C119" s="5" t="n">
        <v>87.48</v>
      </c>
      <c r="D119" s="3" t="inlineStr"/>
    </row>
    <row r="120">
      <c r="A120" s="9" t="inlineStr"/>
      <c r="B120" s="9" t="inlineStr">
        <is>
          <t>300+</t>
        </is>
      </c>
      <c r="C120" s="10" t="n">
        <v>85.17</v>
      </c>
      <c r="D120" s="9" t="inlineStr"/>
    </row>
    <row r="122">
      <c r="A122" s="9" t="inlineStr">
        <is>
          <t>Etched Robert Mondavi Napa Valley Chardonnay Bottle</t>
        </is>
      </c>
      <c r="B122" s="9" t="inlineStr">
        <is>
          <t>12+</t>
        </is>
      </c>
      <c r="C122" s="10" t="n">
        <v>132.66</v>
      </c>
      <c r="D122" s="9" t="inlineStr">
        <is>
          <t>One color fill</t>
        </is>
      </c>
    </row>
    <row r="123">
      <c r="A123" s="3" t="inlineStr"/>
      <c r="B123" s="3" t="inlineStr">
        <is>
          <t>48+</t>
        </is>
      </c>
      <c r="C123" s="5" t="n">
        <v>122.5</v>
      </c>
      <c r="D123" s="3" t="inlineStr"/>
    </row>
    <row r="124">
      <c r="A124" s="9" t="inlineStr"/>
      <c r="B124" s="9" t="inlineStr">
        <is>
          <t>108+</t>
        </is>
      </c>
      <c r="C124" s="10" t="n">
        <v>117.93</v>
      </c>
      <c r="D124" s="9" t="inlineStr"/>
    </row>
    <row r="125">
      <c r="A125" s="3" t="inlineStr"/>
      <c r="B125" s="3" t="inlineStr">
        <is>
          <t>204+</t>
        </is>
      </c>
      <c r="C125" s="5" t="n">
        <v>114.63</v>
      </c>
      <c r="D125" s="3" t="inlineStr"/>
    </row>
    <row r="126">
      <c r="A126" s="9" t="inlineStr"/>
      <c r="B126" s="9" t="inlineStr">
        <is>
          <t>300+</t>
        </is>
      </c>
      <c r="C126" s="10" t="n">
        <v>112.3</v>
      </c>
      <c r="D126" s="9" t="inlineStr"/>
    </row>
    <row r="128">
      <c r="A128" s="9" t="inlineStr">
        <is>
          <t>Etched Duckhorn Decoy Chardonnay White Wine Bottle</t>
        </is>
      </c>
      <c r="B128" s="9" t="inlineStr">
        <is>
          <t>12+</t>
        </is>
      </c>
      <c r="C128" s="10" t="n">
        <v>96.64</v>
      </c>
      <c r="D128" s="9" t="inlineStr">
        <is>
          <t>One color fill</t>
        </is>
      </c>
    </row>
    <row r="129">
      <c r="A129" s="3" t="inlineStr"/>
      <c r="B129" s="3" t="inlineStr">
        <is>
          <t>48+</t>
        </is>
      </c>
      <c r="C129" s="5" t="n">
        <v>88.47</v>
      </c>
      <c r="D129" s="3" t="inlineStr"/>
    </row>
    <row r="130">
      <c r="A130" s="9" t="inlineStr"/>
      <c r="B130" s="9" t="inlineStr">
        <is>
          <t>108+</t>
        </is>
      </c>
      <c r="C130" s="10" t="n">
        <v>83.88</v>
      </c>
      <c r="D130" s="9" t="inlineStr"/>
    </row>
    <row r="131">
      <c r="A131" s="3" t="inlineStr"/>
      <c r="B131" s="3" t="inlineStr">
        <is>
          <t>204+</t>
        </is>
      </c>
      <c r="C131" s="5" t="n">
        <v>80.58</v>
      </c>
      <c r="D131" s="3" t="inlineStr"/>
    </row>
    <row r="132">
      <c r="A132" s="9" t="inlineStr"/>
      <c r="B132" s="9" t="inlineStr">
        <is>
          <t>300+</t>
        </is>
      </c>
      <c r="C132" s="10" t="n">
        <v>78.27</v>
      </c>
      <c r="D132" s="9" t="inlineStr"/>
    </row>
    <row r="134">
      <c r="A134" s="9" t="inlineStr">
        <is>
          <t>Laser-Engraved Wood Box w/Custom Etched Chardonnay Wine</t>
        </is>
      </c>
      <c r="B134" s="9" t="inlineStr">
        <is>
          <t>12+</t>
        </is>
      </c>
      <c r="C134" s="10" t="n">
        <v>154.05</v>
      </c>
      <c r="D134" s="9" t="inlineStr">
        <is>
          <t>One color fill</t>
        </is>
      </c>
    </row>
    <row r="135">
      <c r="A135" s="3" t="inlineStr"/>
      <c r="B135" s="3" t="inlineStr">
        <is>
          <t>48+</t>
        </is>
      </c>
      <c r="C135" s="5" t="n">
        <v>147.76</v>
      </c>
      <c r="D135" s="3" t="inlineStr"/>
    </row>
    <row r="136">
      <c r="A136" s="9" t="inlineStr"/>
      <c r="B136" s="9" t="inlineStr">
        <is>
          <t>108+</t>
        </is>
      </c>
      <c r="C136" s="10" t="n">
        <v>142.38</v>
      </c>
      <c r="D136" s="9" t="inlineStr"/>
    </row>
    <row r="137">
      <c r="A137" s="3" t="inlineStr"/>
      <c r="B137" s="3" t="inlineStr">
        <is>
          <t>204+</t>
        </is>
      </c>
      <c r="C137" s="5" t="n">
        <v>138.69</v>
      </c>
      <c r="D137" s="3" t="inlineStr"/>
    </row>
    <row r="138">
      <c r="A138" s="9" t="inlineStr"/>
      <c r="B138" s="9" t="inlineStr">
        <is>
          <t>300+</t>
        </is>
      </c>
      <c r="C138" s="10" t="n">
        <v>136.36</v>
      </c>
      <c r="D138" s="9" t="inlineStr"/>
    </row>
    <row r="140">
      <c r="A140" s="9" t="inlineStr">
        <is>
          <t>Laser-Engraved Wood Box w/Custom Etched Pinot Noir Wine</t>
        </is>
      </c>
      <c r="B140" s="9" t="inlineStr">
        <is>
          <t>12+</t>
        </is>
      </c>
      <c r="C140" s="10" t="n">
        <v>154.05</v>
      </c>
      <c r="D140" s="9" t="inlineStr">
        <is>
          <t>One color fill</t>
        </is>
      </c>
    </row>
    <row r="141">
      <c r="A141" s="3" t="inlineStr"/>
      <c r="B141" s="3" t="inlineStr">
        <is>
          <t>48+</t>
        </is>
      </c>
      <c r="C141" s="5" t="n">
        <v>147.76</v>
      </c>
      <c r="D141" s="3" t="inlineStr"/>
    </row>
    <row r="142">
      <c r="A142" s="9" t="inlineStr"/>
      <c r="B142" s="9" t="inlineStr">
        <is>
          <t>108+</t>
        </is>
      </c>
      <c r="C142" s="10" t="n">
        <v>142.38</v>
      </c>
      <c r="D142" s="9" t="inlineStr"/>
    </row>
    <row r="143">
      <c r="A143" s="3" t="inlineStr"/>
      <c r="B143" s="3" t="inlineStr">
        <is>
          <t>204+</t>
        </is>
      </c>
      <c r="C143" s="5" t="n">
        <v>138.69</v>
      </c>
      <c r="D143" s="3" t="inlineStr"/>
    </row>
    <row r="144">
      <c r="A144" s="9" t="inlineStr"/>
      <c r="B144" s="9" t="inlineStr">
        <is>
          <t>300+</t>
        </is>
      </c>
      <c r="C144" s="10" t="n">
        <v>136.36</v>
      </c>
      <c r="D144" s="9" t="inlineStr"/>
    </row>
    <row r="146">
      <c r="A146" s="9" t="inlineStr">
        <is>
          <t>Etched Beringer Knight's Valley Cabernet Red Wine Bottle</t>
        </is>
      </c>
      <c r="B146" s="9" t="inlineStr">
        <is>
          <t>12+</t>
        </is>
      </c>
      <c r="C146" s="10" t="n">
        <v>115.38</v>
      </c>
      <c r="D146" s="9" t="inlineStr">
        <is>
          <t>One color fill</t>
        </is>
      </c>
    </row>
    <row r="147">
      <c r="A147" s="3" t="inlineStr"/>
      <c r="B147" s="3" t="inlineStr">
        <is>
          <t>48+</t>
        </is>
      </c>
      <c r="C147" s="5" t="n">
        <v>107.88</v>
      </c>
      <c r="D147" s="3" t="inlineStr"/>
    </row>
    <row r="148">
      <c r="A148" s="9" t="inlineStr"/>
      <c r="B148" s="9" t="inlineStr">
        <is>
          <t>108+</t>
        </is>
      </c>
      <c r="C148" s="10" t="n">
        <v>102.5</v>
      </c>
      <c r="D148" s="9" t="inlineStr"/>
    </row>
    <row r="149">
      <c r="A149" s="3" t="inlineStr"/>
      <c r="B149" s="3" t="inlineStr">
        <is>
          <t>204+</t>
        </is>
      </c>
      <c r="C149" s="5" t="n">
        <v>99.2</v>
      </c>
      <c r="D149" s="3" t="inlineStr"/>
    </row>
    <row r="150">
      <c r="A150" s="9" t="inlineStr"/>
      <c r="B150" s="9" t="inlineStr">
        <is>
          <t>300+</t>
        </is>
      </c>
      <c r="C150" s="10" t="n">
        <v>96.88</v>
      </c>
      <c r="D15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2025-12-13T09:48:58Z</dcterms:created>
  <dcterms:modified xsi:type="dcterms:W3CDTF">2025-12-13T09:48:58Z</dcterms:modified>
</cp:coreProperties>
</file>