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  <sheet name="Price Breaks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FCC"/>
        <bgColor rgb="00FFFFCC"/>
      </patternFill>
    </fill>
    <fill>
      <patternFill patternType="solid">
        <fgColor rgb="0090EE90"/>
        <bgColor rgb="0090EE90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0" borderId="1" pivotButton="0" quotePrefix="0" xfId="0"/>
    <xf numFmtId="0" fontId="1" fillId="0" borderId="0" pivotButton="0" quotePrefix="0" xfId="0"/>
    <xf numFmtId="164" fontId="1" fillId="4" borderId="1" pivotButton="0" quotePrefix="0" xfId="0"/>
    <xf numFmtId="0" fontId="2" fillId="5" borderId="1" pivotButton="0" quotePrefix="0" xfId="0"/>
    <xf numFmtId="0" fontId="0" fillId="6" borderId="1" pivotButton="0" quotePrefix="0" xfId="0"/>
    <xf numFmtId="164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Enter your desired quantity in 'Your QTY' column - Price adjusts automatically based on quantity tiers</t>
        </is>
      </c>
    </row>
    <row r="2">
      <c r="A2" s="2" t="inlineStr">
        <is>
          <t>Promo Product</t>
        </is>
      </c>
      <c r="B2" s="2" t="inlineStr">
        <is>
          <t>Min QTY</t>
        </is>
      </c>
      <c r="C2" s="2" t="inlineStr">
        <is>
          <t>Your QTY</t>
        </is>
      </c>
      <c r="D2" s="2" t="inlineStr">
        <is>
          <t>Price/Unit</t>
        </is>
      </c>
      <c r="E2" s="2" t="inlineStr">
        <is>
          <t>Setup</t>
        </is>
      </c>
      <c r="F2" s="2" t="inlineStr">
        <is>
          <t>Total</t>
        </is>
      </c>
      <c r="G2" s="2" t="inlineStr">
        <is>
          <t>Freight Est.</t>
        </is>
      </c>
    </row>
    <row r="3">
      <c r="A3" s="3" t="inlineStr">
        <is>
          <t>27 oz Tritan Wide Mouth Water Bottle</t>
        </is>
      </c>
      <c r="B3" s="4" t="n">
        <v>48</v>
      </c>
      <c r="C3" s="2" t="n">
        <v>48</v>
      </c>
      <c r="D3" s="5">
        <f>IF(C3&gt;=960,7.21,IF(C3&gt;=480,7.58,IF(C3&gt;=240,8.0,IF(C3&gt;=96,8.27,8.43))))</f>
        <v/>
      </c>
      <c r="E3" s="5" t="n">
        <v>57.5</v>
      </c>
      <c r="F3" s="5">
        <f>D3*C3+E3</f>
        <v/>
      </c>
      <c r="G3" s="5">
        <f>F3*0.15</f>
        <v/>
      </c>
    </row>
    <row r="4">
      <c r="A4" s="3" t="inlineStr">
        <is>
          <t>Callaway Flix Lite Pouch Pack</t>
        </is>
      </c>
      <c r="B4" s="4" t="n">
        <v>24</v>
      </c>
      <c r="C4" s="2" t="n">
        <v>24</v>
      </c>
      <c r="D4" s="5">
        <f>IF(C4&gt;=288,25.97,IF(C4&gt;=144,26.26,IF(C4&gt;=48,26.96,27.24)))</f>
        <v/>
      </c>
      <c r="E4" s="5" t="n">
        <v>0</v>
      </c>
      <c r="F4" s="5">
        <f>D4*C4+E4</f>
        <v/>
      </c>
      <c r="G4" s="5">
        <f>F4*0.15</f>
        <v/>
      </c>
    </row>
    <row r="5">
      <c r="A5" s="3" t="inlineStr">
        <is>
          <t>Mini Presentation Box Flix Pro 2.0</t>
        </is>
      </c>
      <c r="B5" s="4" t="n">
        <v>48</v>
      </c>
      <c r="C5" s="2" t="n">
        <v>48</v>
      </c>
      <c r="D5" s="5">
        <f>IF(C5&gt;=288,23.76,IF(C5&gt;=144,24.35,24.92))</f>
        <v/>
      </c>
      <c r="E5" s="5" t="n">
        <v>0</v>
      </c>
      <c r="F5" s="5">
        <f>D5*C5+E5</f>
        <v/>
      </c>
      <c r="G5" s="5">
        <f>F5*0.15</f>
        <v/>
      </c>
    </row>
    <row r="6">
      <c r="A6" s="3" t="inlineStr">
        <is>
          <t>Dormie Towel Mini Presentation Box Flix Pro 2.0</t>
        </is>
      </c>
      <c r="B6" s="4" t="n">
        <v>24</v>
      </c>
      <c r="C6" s="2" t="n">
        <v>24</v>
      </c>
      <c r="D6" s="5">
        <f>IF(C6&gt;=144,26.44,IF(C6&gt;=48,27.02,27.58))</f>
        <v/>
      </c>
      <c r="E6" s="5" t="n">
        <v>0</v>
      </c>
      <c r="F6" s="5">
        <f>D6*C6+E6</f>
        <v/>
      </c>
      <c r="G6" s="5">
        <f>F6*0.15</f>
        <v/>
      </c>
    </row>
    <row r="7">
      <c r="A7" s="3" t="inlineStr">
        <is>
          <t>Stainless Credit Card Bottle Opener</t>
        </is>
      </c>
      <c r="B7" s="4" t="n">
        <v>250</v>
      </c>
      <c r="C7" s="2" t="n">
        <v>250</v>
      </c>
      <c r="D7" s="5">
        <f>IF(C7&gt;=2500,1.69,IF(C7&gt;=1000,1.74,IF(C7&gt;=500,1.79,1.85)))</f>
        <v/>
      </c>
      <c r="E7" s="5" t="n">
        <v>60</v>
      </c>
      <c r="F7" s="5">
        <f>D7*C7+E7</f>
        <v/>
      </c>
      <c r="G7" s="5">
        <f>F7*0.15</f>
        <v/>
      </c>
    </row>
    <row r="8">
      <c r="A8" s="3" t="inlineStr">
        <is>
          <t>Versa Eco Friendly Tech Organizer Pouch</t>
        </is>
      </c>
      <c r="B8" s="4" t="n">
        <v>50</v>
      </c>
      <c r="C8" s="2" t="n">
        <v>50</v>
      </c>
      <c r="D8" s="5">
        <f>IF(C8&gt;=1000,10.99,IF(C8&gt;=500,11.49,IF(C8&gt;=300,11.99,IF(C8&gt;=100,12.49,12.99))))</f>
        <v/>
      </c>
      <c r="E8" s="5" t="n">
        <v>27.5</v>
      </c>
      <c r="F8" s="5">
        <f>D8*C8+E8</f>
        <v/>
      </c>
      <c r="G8" s="5">
        <f>F8*0.15</f>
        <v/>
      </c>
    </row>
    <row r="9">
      <c r="A9" s="3" t="inlineStr">
        <is>
          <t>Fuzzerator Lint Brush</t>
        </is>
      </c>
      <c r="B9" s="4" t="n">
        <v>250</v>
      </c>
      <c r="C9" s="2" t="n">
        <v>250</v>
      </c>
      <c r="D9" s="5">
        <f>IF(C9&gt;=2500,3.69,IF(C9&gt;=1000,3.78,IF(C9&gt;=500,3.86,4.22)))</f>
        <v/>
      </c>
      <c r="E9" s="5" t="n">
        <v>60</v>
      </c>
      <c r="F9" s="5">
        <f>D9*C9+E9</f>
        <v/>
      </c>
      <c r="G9" s="5">
        <f>F9*0.15</f>
        <v/>
      </c>
    </row>
    <row r="10">
      <c r="A10" s="3" t="inlineStr">
        <is>
          <t>Gripa Alligator Fridge Memo / Chip Clip</t>
        </is>
      </c>
      <c r="B10" s="4" t="n">
        <v>300</v>
      </c>
      <c r="C10" s="2" t="n">
        <v>300</v>
      </c>
      <c r="D10" s="5">
        <f>IF(C10&gt;=5000,1.25,IF(C10&gt;=2500,1.4,IF(C10&gt;=1000,1.55,1.7)))</f>
        <v/>
      </c>
      <c r="E10" s="5" t="n">
        <v>62.5</v>
      </c>
      <c r="F10" s="5">
        <f>D10*C10+E10</f>
        <v/>
      </c>
      <c r="G10" s="5">
        <f>F10*0.15</f>
        <v/>
      </c>
    </row>
    <row r="11">
      <c r="A11" s="3" t="inlineStr">
        <is>
          <t>Full Color Neoprene Wristband with Bottle Opener</t>
        </is>
      </c>
      <c r="B11" s="4" t="n">
        <v>100</v>
      </c>
      <c r="C11" s="2" t="n">
        <v>100</v>
      </c>
      <c r="D11" s="5">
        <f>IF(C11&gt;=2500,2.59,IF(C11&gt;=1000,2.9,IF(C11&gt;=500,3.21,IF(C11&gt;=250,3.53,3.84))))</f>
        <v/>
      </c>
      <c r="E11" s="5" t="n">
        <v>45</v>
      </c>
      <c r="F11" s="5">
        <f>D11*C11+E11</f>
        <v/>
      </c>
      <c r="G11" s="5">
        <f>F11*0.15</f>
        <v/>
      </c>
    </row>
    <row r="12">
      <c r="A12" s="3" t="inlineStr">
        <is>
          <t>TerraTone™ 3-In-1 Charging Cable</t>
        </is>
      </c>
      <c r="B12" s="4" t="n">
        <v>1</v>
      </c>
      <c r="C12" s="2" t="n">
        <v>1</v>
      </c>
      <c r="D12" s="5">
        <f>IF(C12&gt;=100,12.45,IF(C12&gt;=50,13.08,IF(C12&gt;=25,13.38,IF(C12&gt;=10,13.7,17.12))))</f>
        <v/>
      </c>
      <c r="E12" s="5" t="n">
        <v>0</v>
      </c>
      <c r="F12" s="5">
        <f>D12*C12+E12</f>
        <v/>
      </c>
      <c r="G12" s="5">
        <f>F12*0.15</f>
        <v/>
      </c>
    </row>
    <row r="13">
      <c r="A13" s="3" t="inlineStr">
        <is>
          <t>Confetti Stress Ball</t>
        </is>
      </c>
      <c r="B13" s="4" t="n">
        <v>100</v>
      </c>
      <c r="C13" s="2" t="n">
        <v>100</v>
      </c>
      <c r="D13" s="5">
        <f>IF(C13&gt;=2500,3.45,IF(C13&gt;=1000,3.62,IF(C13&gt;=500,3.71,IF(C13&gt;=250,3.8,4.14))))</f>
        <v/>
      </c>
      <c r="E13" s="5" t="n">
        <v>60</v>
      </c>
      <c r="F13" s="5">
        <f>D13*C13+E13</f>
        <v/>
      </c>
      <c r="G13" s="5">
        <f>F13*0.15</f>
        <v/>
      </c>
    </row>
    <row r="14">
      <c r="A14" s="3" t="inlineStr">
        <is>
          <t>Think Green Recycled Notepad &amp; Pen</t>
        </is>
      </c>
      <c r="B14" s="4" t="n">
        <v>150</v>
      </c>
      <c r="C14" s="2" t="n">
        <v>150</v>
      </c>
      <c r="D14" s="5">
        <f>IF(C14&gt;=5000,1.95,IF(C14&gt;=2500,2.02,IF(C14&gt;=1000,2.11,IF(C14&gt;=500,2.2,2.32))))</f>
        <v/>
      </c>
      <c r="E14" s="5" t="n">
        <v>60</v>
      </c>
      <c r="F14" s="5">
        <f>D14*C14+E14</f>
        <v/>
      </c>
      <c r="G14" s="5">
        <f>F14*0.15</f>
        <v/>
      </c>
    </row>
    <row r="15">
      <c r="A15" s="3" t="inlineStr">
        <is>
          <t>Unisex Knitted Dress Sock</t>
        </is>
      </c>
      <c r="B15" s="4" t="n">
        <v>50</v>
      </c>
      <c r="C15" s="2" t="n">
        <v>50</v>
      </c>
      <c r="D15" s="5">
        <f>IF(C15&gt;=2500,6.12,IF(C15&gt;=1000,6.39,IF(C15&gt;=500,7.04,IF(C15&gt;=250,9.45,IF(C15&gt;=100,12.61,16.8)))))</f>
        <v/>
      </c>
      <c r="E15" s="5" t="n">
        <v>0</v>
      </c>
      <c r="F15" s="5">
        <f>D15*C15+E15</f>
        <v/>
      </c>
      <c r="G15" s="5">
        <f>F15*0.15</f>
        <v/>
      </c>
    </row>
    <row r="16">
      <c r="A16" s="3" t="inlineStr">
        <is>
          <t>Port &amp; Co™ Tri-Blend Tee.</t>
        </is>
      </c>
      <c r="B16" s="4" t="n">
        <v>1</v>
      </c>
      <c r="C16" s="2" t="n">
        <v>1</v>
      </c>
      <c r="D16" s="5">
        <f>IF(C16&gt;=72,8.26,10.26)</f>
        <v/>
      </c>
      <c r="E16" s="5" t="n">
        <v>0</v>
      </c>
      <c r="F16" s="5">
        <f>D16*C16+E16</f>
        <v/>
      </c>
      <c r="G16" s="5">
        <f>F16*0.15</f>
        <v/>
      </c>
    </row>
    <row r="17">
      <c r="E17" s="6" t="inlineStr">
        <is>
          <t>TOTALS:</t>
        </is>
      </c>
      <c r="F17" s="7">
        <f>SUM(F3:F16)</f>
        <v/>
      </c>
      <c r="G17" s="7">
        <f>SUM(G3:G16)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30" customWidth="1" min="4" max="4"/>
  </cols>
  <sheetData>
    <row r="1">
      <c r="A1" s="8" t="inlineStr">
        <is>
          <t>Product</t>
        </is>
      </c>
      <c r="B1" s="8" t="inlineStr">
        <is>
          <t>Quantity</t>
        </is>
      </c>
      <c r="C1" s="8" t="inlineStr">
        <is>
          <t>Price/Unit</t>
        </is>
      </c>
      <c r="D1" s="8" t="inlineStr">
        <is>
          <t>Notes</t>
        </is>
      </c>
    </row>
    <row r="2">
      <c r="A2" s="9" t="inlineStr">
        <is>
          <t>27 oz Tritan Wide Mouth Water Bottle</t>
        </is>
      </c>
      <c r="B2" s="9" t="inlineStr">
        <is>
          <t>48+</t>
        </is>
      </c>
      <c r="C2" s="10" t="n">
        <v>8.43</v>
      </c>
      <c r="D2" s="9" t="n"/>
    </row>
    <row r="3">
      <c r="A3" s="3" t="inlineStr"/>
      <c r="B3" s="3" t="inlineStr">
        <is>
          <t>96+</t>
        </is>
      </c>
      <c r="C3" s="5" t="n">
        <v>8.27</v>
      </c>
      <c r="D3" s="3" t="inlineStr"/>
    </row>
    <row r="4">
      <c r="A4" s="9" t="inlineStr"/>
      <c r="B4" s="9" t="inlineStr">
        <is>
          <t>240+</t>
        </is>
      </c>
      <c r="C4" s="10" t="n">
        <v>8</v>
      </c>
      <c r="D4" s="9" t="inlineStr"/>
    </row>
    <row r="5">
      <c r="A5" s="3" t="inlineStr"/>
      <c r="B5" s="3" t="inlineStr">
        <is>
          <t>480+</t>
        </is>
      </c>
      <c r="C5" s="5" t="n">
        <v>7.58</v>
      </c>
      <c r="D5" s="3" t="inlineStr"/>
    </row>
    <row r="6">
      <c r="A6" s="9" t="inlineStr"/>
      <c r="B6" s="9" t="inlineStr">
        <is>
          <t>960+</t>
        </is>
      </c>
      <c r="C6" s="10" t="n">
        <v>7.21</v>
      </c>
      <c r="D6" s="9" t="inlineStr"/>
    </row>
    <row r="8">
      <c r="A8" s="9" t="inlineStr">
        <is>
          <t>Callaway Flix Lite Pouch Pack</t>
        </is>
      </c>
      <c r="B8" s="9" t="inlineStr">
        <is>
          <t>24+</t>
        </is>
      </c>
      <c r="C8" s="10" t="n">
        <v>27.24</v>
      </c>
      <c r="D8" s="9" t="inlineStr">
        <is>
          <t>4 color process</t>
        </is>
      </c>
    </row>
    <row r="9">
      <c r="A9" s="3" t="inlineStr"/>
      <c r="B9" s="3" t="inlineStr">
        <is>
          <t>48+</t>
        </is>
      </c>
      <c r="C9" s="5" t="n">
        <v>26.96</v>
      </c>
      <c r="D9" s="3" t="inlineStr"/>
    </row>
    <row r="10">
      <c r="A10" s="9" t="inlineStr"/>
      <c r="B10" s="9" t="inlineStr">
        <is>
          <t>144+</t>
        </is>
      </c>
      <c r="C10" s="10" t="n">
        <v>26.26</v>
      </c>
      <c r="D10" s="9" t="inlineStr"/>
    </row>
    <row r="11">
      <c r="A11" s="3" t="inlineStr"/>
      <c r="B11" s="3" t="inlineStr">
        <is>
          <t>288+</t>
        </is>
      </c>
      <c r="C11" s="5" t="n">
        <v>25.97</v>
      </c>
      <c r="D11" s="3" t="inlineStr"/>
    </row>
    <row r="13">
      <c r="A13" s="3" t="inlineStr">
        <is>
          <t>Mini Presentation Box Flix Pro 2.0</t>
        </is>
      </c>
      <c r="B13" s="3" t="inlineStr">
        <is>
          <t>48+</t>
        </is>
      </c>
      <c r="C13" s="5" t="n">
        <v>24.92</v>
      </c>
      <c r="D13" s="3" t="inlineStr">
        <is>
          <t>4 color process</t>
        </is>
      </c>
    </row>
    <row r="14">
      <c r="A14" s="9" t="inlineStr"/>
      <c r="B14" s="9" t="inlineStr">
        <is>
          <t>144+</t>
        </is>
      </c>
      <c r="C14" s="10" t="n">
        <v>24.35</v>
      </c>
      <c r="D14" s="9" t="inlineStr"/>
    </row>
    <row r="15">
      <c r="A15" s="3" t="inlineStr"/>
      <c r="B15" s="3" t="inlineStr">
        <is>
          <t>288+</t>
        </is>
      </c>
      <c r="C15" s="5" t="n">
        <v>23.76</v>
      </c>
      <c r="D15" s="3" t="inlineStr"/>
    </row>
    <row r="17">
      <c r="A17" s="3" t="inlineStr">
        <is>
          <t>Dormie Towel Mini Presentation Box Flix Pro 2.0</t>
        </is>
      </c>
      <c r="B17" s="3" t="inlineStr">
        <is>
          <t>24+</t>
        </is>
      </c>
      <c r="C17" s="5" t="n">
        <v>27.58</v>
      </c>
      <c r="D17" s="3" t="inlineStr">
        <is>
          <t>4 color process</t>
        </is>
      </c>
    </row>
    <row r="18">
      <c r="A18" s="9" t="inlineStr"/>
      <c r="B18" s="9" t="inlineStr">
        <is>
          <t>48+</t>
        </is>
      </c>
      <c r="C18" s="10" t="n">
        <v>27.02</v>
      </c>
      <c r="D18" s="9" t="inlineStr"/>
    </row>
    <row r="19">
      <c r="A19" s="3" t="inlineStr"/>
      <c r="B19" s="3" t="inlineStr">
        <is>
          <t>144+</t>
        </is>
      </c>
      <c r="C19" s="5" t="n">
        <v>26.44</v>
      </c>
      <c r="D19" s="3" t="inlineStr"/>
    </row>
    <row r="21">
      <c r="A21" s="3" t="inlineStr">
        <is>
          <t>Stainless Credit Card Bottle Opener</t>
        </is>
      </c>
      <c r="B21" s="3" t="inlineStr">
        <is>
          <t>250+</t>
        </is>
      </c>
      <c r="C21" s="5" t="n">
        <v>1.85</v>
      </c>
      <c r="D21" s="3" t="inlineStr">
        <is>
          <t>Laser engraving;1 side only</t>
        </is>
      </c>
    </row>
    <row r="22">
      <c r="A22" s="9" t="inlineStr"/>
      <c r="B22" s="9" t="inlineStr">
        <is>
          <t>500+</t>
        </is>
      </c>
      <c r="C22" s="10" t="n">
        <v>1.79</v>
      </c>
      <c r="D22" s="9" t="inlineStr"/>
    </row>
    <row r="23">
      <c r="A23" s="3" t="inlineStr"/>
      <c r="B23" s="3" t="inlineStr">
        <is>
          <t>1000+</t>
        </is>
      </c>
      <c r="C23" s="5" t="n">
        <v>1.74</v>
      </c>
      <c r="D23" s="3" t="inlineStr"/>
    </row>
    <row r="24">
      <c r="A24" s="9" t="inlineStr"/>
      <c r="B24" s="9" t="inlineStr">
        <is>
          <t>2500+</t>
        </is>
      </c>
      <c r="C24" s="10" t="n">
        <v>1.69</v>
      </c>
      <c r="D24" s="9" t="inlineStr"/>
    </row>
    <row r="26">
      <c r="A26" s="9" t="inlineStr">
        <is>
          <t>Versa Eco Friendly Tech Organizer Pouch</t>
        </is>
      </c>
      <c r="B26" s="9" t="inlineStr">
        <is>
          <t>50+</t>
        </is>
      </c>
      <c r="C26" s="10" t="n">
        <v>12.99</v>
      </c>
      <c r="D26" s="9" t="n"/>
    </row>
    <row r="27">
      <c r="A27" s="3" t="inlineStr"/>
      <c r="B27" s="3" t="inlineStr">
        <is>
          <t>100+</t>
        </is>
      </c>
      <c r="C27" s="5" t="n">
        <v>12.49</v>
      </c>
      <c r="D27" s="3" t="inlineStr"/>
    </row>
    <row r="28">
      <c r="A28" s="9" t="inlineStr"/>
      <c r="B28" s="9" t="inlineStr">
        <is>
          <t>300+</t>
        </is>
      </c>
      <c r="C28" s="10" t="n">
        <v>11.99</v>
      </c>
      <c r="D28" s="9" t="inlineStr"/>
    </row>
    <row r="29">
      <c r="A29" s="3" t="inlineStr"/>
      <c r="B29" s="3" t="inlineStr">
        <is>
          <t>500+</t>
        </is>
      </c>
      <c r="C29" s="5" t="n">
        <v>11.49</v>
      </c>
      <c r="D29" s="3" t="inlineStr"/>
    </row>
    <row r="30">
      <c r="A30" s="9" t="inlineStr"/>
      <c r="B30" s="9" t="inlineStr">
        <is>
          <t>1000+</t>
        </is>
      </c>
      <c r="C30" s="10" t="n">
        <v>10.99</v>
      </c>
      <c r="D30" s="9" t="inlineStr"/>
    </row>
    <row r="32">
      <c r="A32" s="9" t="inlineStr">
        <is>
          <t>Fuzzerator Lint Brush</t>
        </is>
      </c>
      <c r="B32" s="9" t="inlineStr">
        <is>
          <t>250+</t>
        </is>
      </c>
      <c r="C32" s="10" t="n">
        <v>4.22</v>
      </c>
      <c r="D32" s="9" t="inlineStr">
        <is>
          <t>1 Color;1 Location</t>
        </is>
      </c>
    </row>
    <row r="33">
      <c r="A33" s="3" t="inlineStr"/>
      <c r="B33" s="3" t="inlineStr">
        <is>
          <t>500+</t>
        </is>
      </c>
      <c r="C33" s="5" t="n">
        <v>3.86</v>
      </c>
      <c r="D33" s="3" t="inlineStr"/>
    </row>
    <row r="34">
      <c r="A34" s="9" t="inlineStr"/>
      <c r="B34" s="9" t="inlineStr">
        <is>
          <t>1000+</t>
        </is>
      </c>
      <c r="C34" s="10" t="n">
        <v>3.78</v>
      </c>
      <c r="D34" s="9" t="inlineStr"/>
    </row>
    <row r="35">
      <c r="A35" s="3" t="inlineStr"/>
      <c r="B35" s="3" t="inlineStr">
        <is>
          <t>2500+</t>
        </is>
      </c>
      <c r="C35" s="5" t="n">
        <v>3.69</v>
      </c>
      <c r="D35" s="3" t="inlineStr"/>
    </row>
    <row r="37">
      <c r="A37" s="3" t="inlineStr">
        <is>
          <t>Gripa Alligator Fridge Memo / Chip Clip</t>
        </is>
      </c>
      <c r="B37" s="3" t="inlineStr">
        <is>
          <t>300+</t>
        </is>
      </c>
      <c r="C37" s="5" t="n">
        <v>1.7</v>
      </c>
      <c r="D37" s="3" t="inlineStr">
        <is>
          <t>1 color;1 side;1 location</t>
        </is>
      </c>
    </row>
    <row r="38">
      <c r="A38" s="9" t="inlineStr"/>
      <c r="B38" s="9" t="inlineStr">
        <is>
          <t>1000+</t>
        </is>
      </c>
      <c r="C38" s="10" t="n">
        <v>1.55</v>
      </c>
      <c r="D38" s="9" t="inlineStr"/>
    </row>
    <row r="39">
      <c r="A39" s="3" t="inlineStr"/>
      <c r="B39" s="3" t="inlineStr">
        <is>
          <t>2500+</t>
        </is>
      </c>
      <c r="C39" s="5" t="n">
        <v>1.4</v>
      </c>
      <c r="D39" s="3" t="inlineStr"/>
    </row>
    <row r="40">
      <c r="A40" s="9" t="inlineStr"/>
      <c r="B40" s="9" t="inlineStr">
        <is>
          <t>5000+</t>
        </is>
      </c>
      <c r="C40" s="10" t="n">
        <v>1.25</v>
      </c>
      <c r="D40" s="9" t="inlineStr"/>
    </row>
    <row r="42">
      <c r="A42" s="9" t="inlineStr">
        <is>
          <t>Full Color Neoprene Wristband with Bottle Opener</t>
        </is>
      </c>
      <c r="B42" s="9" t="inlineStr">
        <is>
          <t>100+</t>
        </is>
      </c>
      <c r="C42" s="10" t="n">
        <v>3.84</v>
      </c>
      <c r="D42" s="9" t="inlineStr">
        <is>
          <t>Full Color;1 location</t>
        </is>
      </c>
    </row>
    <row r="43">
      <c r="A43" s="3" t="inlineStr"/>
      <c r="B43" s="3" t="inlineStr">
        <is>
          <t>250+</t>
        </is>
      </c>
      <c r="C43" s="5" t="n">
        <v>3.53</v>
      </c>
      <c r="D43" s="3" t="inlineStr"/>
    </row>
    <row r="44">
      <c r="A44" s="9" t="inlineStr"/>
      <c r="B44" s="9" t="inlineStr">
        <is>
          <t>500+</t>
        </is>
      </c>
      <c r="C44" s="10" t="n">
        <v>3.21</v>
      </c>
      <c r="D44" s="9" t="inlineStr"/>
    </row>
    <row r="45">
      <c r="A45" s="3" t="inlineStr"/>
      <c r="B45" s="3" t="inlineStr">
        <is>
          <t>1000+</t>
        </is>
      </c>
      <c r="C45" s="5" t="n">
        <v>2.9</v>
      </c>
      <c r="D45" s="3" t="inlineStr"/>
    </row>
    <row r="46">
      <c r="A46" s="9" t="inlineStr"/>
      <c r="B46" s="9" t="inlineStr">
        <is>
          <t>2500+</t>
        </is>
      </c>
      <c r="C46" s="10" t="n">
        <v>2.59</v>
      </c>
      <c r="D46" s="9" t="inlineStr"/>
    </row>
    <row r="48">
      <c r="A48" s="9" t="inlineStr">
        <is>
          <t>TerraTone™ 3-In-1 Charging Cable</t>
        </is>
      </c>
      <c r="B48" s="9" t="inlineStr">
        <is>
          <t>1+</t>
        </is>
      </c>
      <c r="C48" s="10" t="n">
        <v>17.12</v>
      </c>
      <c r="D48" s="9" t="inlineStr">
        <is>
          <t>Full color</t>
        </is>
      </c>
    </row>
    <row r="49">
      <c r="A49" s="3" t="inlineStr"/>
      <c r="B49" s="3" t="inlineStr">
        <is>
          <t>10+</t>
        </is>
      </c>
      <c r="C49" s="5" t="n">
        <v>13.7</v>
      </c>
      <c r="D49" s="3" t="inlineStr"/>
    </row>
    <row r="50">
      <c r="A50" s="9" t="inlineStr"/>
      <c r="B50" s="9" t="inlineStr">
        <is>
          <t>25+</t>
        </is>
      </c>
      <c r="C50" s="10" t="n">
        <v>13.38</v>
      </c>
      <c r="D50" s="9" t="inlineStr"/>
    </row>
    <row r="51">
      <c r="A51" s="3" t="inlineStr"/>
      <c r="B51" s="3" t="inlineStr">
        <is>
          <t>50+</t>
        </is>
      </c>
      <c r="C51" s="5" t="n">
        <v>13.08</v>
      </c>
      <c r="D51" s="3" t="inlineStr"/>
    </row>
    <row r="52">
      <c r="A52" s="9" t="inlineStr"/>
      <c r="B52" s="9" t="inlineStr">
        <is>
          <t>100+</t>
        </is>
      </c>
      <c r="C52" s="10" t="n">
        <v>12.45</v>
      </c>
      <c r="D52" s="9" t="inlineStr"/>
    </row>
    <row r="54">
      <c r="A54" s="9" t="inlineStr">
        <is>
          <t>Confetti Stress Ball</t>
        </is>
      </c>
      <c r="B54" s="9" t="inlineStr">
        <is>
          <t>100+</t>
        </is>
      </c>
      <c r="C54" s="10" t="n">
        <v>4.14</v>
      </c>
      <c r="D54" s="9" t="inlineStr">
        <is>
          <t>1 Color;1 Location</t>
        </is>
      </c>
    </row>
    <row r="55">
      <c r="A55" s="3" t="inlineStr"/>
      <c r="B55" s="3" t="inlineStr">
        <is>
          <t>250+</t>
        </is>
      </c>
      <c r="C55" s="5" t="n">
        <v>3.8</v>
      </c>
      <c r="D55" s="3" t="inlineStr"/>
    </row>
    <row r="56">
      <c r="A56" s="9" t="inlineStr"/>
      <c r="B56" s="9" t="inlineStr">
        <is>
          <t>500+</t>
        </is>
      </c>
      <c r="C56" s="10" t="n">
        <v>3.71</v>
      </c>
      <c r="D56" s="9" t="inlineStr"/>
    </row>
    <row r="57">
      <c r="A57" s="3" t="inlineStr"/>
      <c r="B57" s="3" t="inlineStr">
        <is>
          <t>1000+</t>
        </is>
      </c>
      <c r="C57" s="5" t="n">
        <v>3.62</v>
      </c>
      <c r="D57" s="3" t="inlineStr"/>
    </row>
    <row r="58">
      <c r="A58" s="9" t="inlineStr"/>
      <c r="B58" s="9" t="inlineStr">
        <is>
          <t>2500+</t>
        </is>
      </c>
      <c r="C58" s="10" t="n">
        <v>3.45</v>
      </c>
      <c r="D58" s="9" t="inlineStr"/>
    </row>
    <row r="60">
      <c r="A60" s="9" t="inlineStr">
        <is>
          <t>Think Green Recycled Notepad &amp; Pen</t>
        </is>
      </c>
      <c r="B60" s="9" t="inlineStr">
        <is>
          <t>150+</t>
        </is>
      </c>
      <c r="C60" s="10" t="n">
        <v>2.32</v>
      </c>
      <c r="D60" s="9" t="inlineStr">
        <is>
          <t>1 color;1 side;1 location</t>
        </is>
      </c>
    </row>
    <row r="61">
      <c r="A61" s="3" t="inlineStr"/>
      <c r="B61" s="3" t="inlineStr">
        <is>
          <t>500+</t>
        </is>
      </c>
      <c r="C61" s="5" t="n">
        <v>2.2</v>
      </c>
      <c r="D61" s="3" t="inlineStr"/>
    </row>
    <row r="62">
      <c r="A62" s="9" t="inlineStr"/>
      <c r="B62" s="9" t="inlineStr">
        <is>
          <t>1000+</t>
        </is>
      </c>
      <c r="C62" s="10" t="n">
        <v>2.11</v>
      </c>
      <c r="D62" s="9" t="inlineStr"/>
    </row>
    <row r="63">
      <c r="A63" s="3" t="inlineStr"/>
      <c r="B63" s="3" t="inlineStr">
        <is>
          <t>2500+</t>
        </is>
      </c>
      <c r="C63" s="5" t="n">
        <v>2.02</v>
      </c>
      <c r="D63" s="3" t="inlineStr"/>
    </row>
    <row r="64">
      <c r="A64" s="9" t="inlineStr"/>
      <c r="B64" s="9" t="inlineStr">
        <is>
          <t>5000+</t>
        </is>
      </c>
      <c r="C64" s="10" t="n">
        <v>1.95</v>
      </c>
      <c r="D64" s="9" t="inlineStr"/>
    </row>
    <row r="66">
      <c r="A66" s="9" t="inlineStr">
        <is>
          <t>Unisex Knitted Dress Sock</t>
        </is>
      </c>
      <c r="B66" s="9" t="inlineStr">
        <is>
          <t>50+</t>
        </is>
      </c>
      <c r="C66" s="10" t="n">
        <v>16.8</v>
      </c>
      <c r="D66" s="9" t="inlineStr">
        <is>
          <t>Full color</t>
        </is>
      </c>
    </row>
    <row r="67">
      <c r="A67" s="3" t="inlineStr"/>
      <c r="B67" s="3" t="inlineStr">
        <is>
          <t>100+</t>
        </is>
      </c>
      <c r="C67" s="5" t="n">
        <v>12.61</v>
      </c>
      <c r="D67" s="3" t="inlineStr"/>
    </row>
    <row r="68">
      <c r="A68" s="9" t="inlineStr"/>
      <c r="B68" s="9" t="inlineStr">
        <is>
          <t>250+</t>
        </is>
      </c>
      <c r="C68" s="10" t="n">
        <v>9.449999999999999</v>
      </c>
      <c r="D68" s="9" t="inlineStr"/>
    </row>
    <row r="69">
      <c r="A69" s="3" t="inlineStr"/>
      <c r="B69" s="3" t="inlineStr">
        <is>
          <t>500+</t>
        </is>
      </c>
      <c r="C69" s="5" t="n">
        <v>7.04</v>
      </c>
      <c r="D69" s="3" t="inlineStr"/>
    </row>
    <row r="70">
      <c r="A70" s="9" t="inlineStr"/>
      <c r="B70" s="9" t="inlineStr">
        <is>
          <t>1000+</t>
        </is>
      </c>
      <c r="C70" s="10" t="n">
        <v>6.39</v>
      </c>
      <c r="D70" s="9" t="inlineStr"/>
    </row>
    <row r="71">
      <c r="A71" s="3" t="inlineStr"/>
      <c r="B71" s="3" t="inlineStr">
        <is>
          <t>2500+</t>
        </is>
      </c>
      <c r="C71" s="5" t="n">
        <v>6.12</v>
      </c>
      <c r="D71" s="3" t="inlineStr"/>
    </row>
    <row r="73">
      <c r="A73" s="3" t="inlineStr">
        <is>
          <t>Port &amp; Co™ Tri-Blend Tee.</t>
        </is>
      </c>
      <c r="B73" s="3" t="inlineStr">
        <is>
          <t>1+</t>
        </is>
      </c>
      <c r="C73" s="5" t="n">
        <v>10.26</v>
      </c>
      <c r="D73" s="3" t="inlineStr">
        <is>
          <t>Blank</t>
        </is>
      </c>
    </row>
    <row r="74">
      <c r="A74" s="9" t="inlineStr"/>
      <c r="B74" s="9" t="inlineStr">
        <is>
          <t>72+</t>
        </is>
      </c>
      <c r="C74" s="10" t="n">
        <v>8.26</v>
      </c>
      <c r="D74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2025-12-13T21:22:50Z</dcterms:created>
  <dcterms:modified xsi:type="dcterms:W3CDTF">2025-12-13T21:22:50Z</dcterms:modified>
</cp:coreProperties>
</file>